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id\OneDrive\Pulpit\"/>
    </mc:Choice>
  </mc:AlternateContent>
  <xr:revisionPtr revIDLastSave="0" documentId="13_ncr:1_{78E1E78B-93BA-4D6B-A4CB-8EE9AA2B7C7E}" xr6:coauthVersionLast="47" xr6:coauthVersionMax="47" xr10:uidLastSave="{00000000-0000-0000-0000-000000000000}"/>
  <bookViews>
    <workbookView xWindow="-109" yWindow="-109" windowWidth="26301" windowHeight="14169" xr2:uid="{783F003E-D15C-400C-A59A-5E4952A6BB8D}"/>
  </bookViews>
  <sheets>
    <sheet name="Portfolio" sheetId="1" r:id="rId1"/>
  </sheets>
  <definedNames>
    <definedName name="_xlnm._FilterDatabase" localSheetId="0" hidden="1">Portfolio!$A$2:$L$29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G28" i="1" l="1"/>
  <c r="H3" i="1" l="1"/>
  <c r="E25" i="1"/>
  <c r="E13" i="1"/>
  <c r="E16" i="1"/>
  <c r="E3" i="1"/>
  <c r="E7" i="1"/>
  <c r="E23" i="1"/>
  <c r="E22" i="1"/>
  <c r="E10" i="1"/>
  <c r="D9" i="1"/>
  <c r="E9" i="1" s="1"/>
  <c r="D27" i="1"/>
  <c r="E27" i="1" s="1"/>
  <c r="F27" i="1" s="1"/>
  <c r="E26" i="1"/>
  <c r="E19" i="1"/>
  <c r="E14" i="1"/>
  <c r="E24" i="1"/>
  <c r="D17" i="1"/>
  <c r="E17" i="1" s="1"/>
  <c r="D21" i="1"/>
  <c r="E21" i="1" s="1"/>
  <c r="D29" i="1"/>
  <c r="E29" i="1" s="1"/>
  <c r="F29" i="1" s="1"/>
  <c r="D12" i="1"/>
  <c r="E12" i="1" s="1"/>
  <c r="E5" i="1"/>
  <c r="E11" i="1"/>
  <c r="E8" i="1"/>
  <c r="E28" i="1"/>
  <c r="F28" i="1" s="1"/>
  <c r="E20" i="1"/>
  <c r="E18" i="1"/>
  <c r="E4" i="1"/>
  <c r="E15" i="1"/>
  <c r="E6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" authorId="0" shapeId="0" xr:uid="{9ECA573D-9FCF-4619-B098-F59B0FADA73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Cyber folks is owner</t>
        </r>
      </text>
    </comment>
    <comment ref="B8" authorId="0" shapeId="0" xr:uid="{4454498F-858C-44E4-A190-0B5EC984B1B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Owner of Vercom SA (WSE:VRC)</t>
        </r>
      </text>
    </comment>
  </commentList>
</comments>
</file>

<file path=xl/sharedStrings.xml><?xml version="1.0" encoding="utf-8"?>
<sst xmlns="http://schemas.openxmlformats.org/spreadsheetml/2006/main" count="92" uniqueCount="89">
  <si>
    <t>Name</t>
  </si>
  <si>
    <t>Shares</t>
  </si>
  <si>
    <t>EV</t>
  </si>
  <si>
    <t>MC</t>
  </si>
  <si>
    <t>Sector</t>
  </si>
  <si>
    <t>Bez firm zajmujących się grami</t>
  </si>
  <si>
    <t>ABS</t>
  </si>
  <si>
    <t>Ticker (WSE)</t>
  </si>
  <si>
    <t>Asseco Business Solutions</t>
  </si>
  <si>
    <t>Price (PLN)</t>
  </si>
  <si>
    <t>ALL</t>
  </si>
  <si>
    <t>AILLERON</t>
  </si>
  <si>
    <t>Asseco South Eastern Europe</t>
  </si>
  <si>
    <t>ASE</t>
  </si>
  <si>
    <t>Atende</t>
  </si>
  <si>
    <t>ATD</t>
  </si>
  <si>
    <t>B24</t>
  </si>
  <si>
    <t>Brand24</t>
  </si>
  <si>
    <t>BCM</t>
  </si>
  <si>
    <t>Betacom</t>
  </si>
  <si>
    <t>Consulting</t>
  </si>
  <si>
    <t>CBF</t>
  </si>
  <si>
    <t>Cyber Folks</t>
  </si>
  <si>
    <t>SaaS</t>
  </si>
  <si>
    <t>More</t>
  </si>
  <si>
    <t>Domeny, SSL, Hosting, Wordpress, Generator Hasła, VPS, AI Website generation</t>
  </si>
  <si>
    <t>CMP</t>
  </si>
  <si>
    <t>COMP</t>
  </si>
  <si>
    <t>Security</t>
  </si>
  <si>
    <t>CMR</t>
  </si>
  <si>
    <t>Comarch</t>
  </si>
  <si>
    <t>CRM, ERP</t>
  </si>
  <si>
    <t>DAT</t>
  </si>
  <si>
    <t>Datawalk</t>
  </si>
  <si>
    <t>Analytics</t>
  </si>
  <si>
    <t>Graph Analytics, US gov. client</t>
  </si>
  <si>
    <t>DTR</t>
  </si>
  <si>
    <t>Digitree</t>
  </si>
  <si>
    <t>Marketing, Sales</t>
  </si>
  <si>
    <t>FAB</t>
  </si>
  <si>
    <t>Fabrity</t>
  </si>
  <si>
    <t>Marketing, Software</t>
  </si>
  <si>
    <t>IFI</t>
  </si>
  <si>
    <t>Ifirma</t>
  </si>
  <si>
    <t>Accounting software</t>
  </si>
  <si>
    <t>LSI</t>
  </si>
  <si>
    <t>LSI Software</t>
  </si>
  <si>
    <t>Hotel software</t>
  </si>
  <si>
    <t>MDG</t>
  </si>
  <si>
    <t>Medicalgorithmics</t>
  </si>
  <si>
    <t>Medtech</t>
  </si>
  <si>
    <t>NTT</t>
  </si>
  <si>
    <t>NTT System</t>
  </si>
  <si>
    <t>Hardware</t>
  </si>
  <si>
    <t>OPM</t>
  </si>
  <si>
    <t>Payment hardware</t>
  </si>
  <si>
    <t>QNT</t>
  </si>
  <si>
    <t>Quantum Software</t>
  </si>
  <si>
    <t>Supply chain software</t>
  </si>
  <si>
    <t>SGN</t>
  </si>
  <si>
    <t>Sygnity</t>
  </si>
  <si>
    <t>SHO</t>
  </si>
  <si>
    <t>Shoper</t>
  </si>
  <si>
    <t>E-commerce</t>
  </si>
  <si>
    <t>SVRS</t>
  </si>
  <si>
    <t>Silvair</t>
  </si>
  <si>
    <t>IoT</t>
  </si>
  <si>
    <t>TLX</t>
  </si>
  <si>
    <t>Talex</t>
  </si>
  <si>
    <t>Data</t>
  </si>
  <si>
    <t>TXT</t>
  </si>
  <si>
    <t>Text</t>
  </si>
  <si>
    <t>Livechat</t>
  </si>
  <si>
    <t>VRC</t>
  </si>
  <si>
    <t>WAS</t>
  </si>
  <si>
    <t>Wasko</t>
  </si>
  <si>
    <t>Telecom software</t>
  </si>
  <si>
    <t>XTP</t>
  </si>
  <si>
    <t>XTPL</t>
  </si>
  <si>
    <t>Printing</t>
  </si>
  <si>
    <t>YRL</t>
  </si>
  <si>
    <t>Yarrl</t>
  </si>
  <si>
    <t>Cash</t>
  </si>
  <si>
    <t>Debt</t>
  </si>
  <si>
    <t>(tys. PLN)</t>
  </si>
  <si>
    <t>Vercom</t>
  </si>
  <si>
    <t xml:space="preserve"> </t>
  </si>
  <si>
    <t>Verdict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</si>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</sst>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3" fontId="2" fillId="0" borderId="0" xfId="0" applyNumberFormat="1" applyFont="1"/>
    <xf numFmtId="3" fontId="0" fillId="0" borderId="0" xfId="0" applyNumberFormat="1"/>
    <xf numFmtId="14" fontId="0" fillId="0" borderId="0" xfId="0" applyNumberFormat="1"/>
    <xf numFmtId="0" fontId="3" fillId="0" borderId="0" xfId="1"/>
    <xf numFmtId="0" fontId="6" fillId="0" borderId="0" xfId="0" applyFont="1"/>
    <xf numFmtId="0" fontId="0" fillId="2" borderId="0" xfId="0" applyFill="1"/>
    <xf numFmtId="4" fontId="0" fillId="2" borderId="0" xfId="0" applyNumberFormat="1" applyFill="1"/>
    <xf numFmtId="3" fontId="2" fillId="2" borderId="0" xfId="0" applyNumberFormat="1" applyFont="1" applyFill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xcelModels\xtpl.xlsx" TargetMode="External"/><Relationship Id="rId3" Type="http://schemas.openxmlformats.org/officeDocument/2006/relationships/hyperlink" Target="Modele\BCM.xlsx" TargetMode="External"/><Relationship Id="rId7" Type="http://schemas.openxmlformats.org/officeDocument/2006/relationships/hyperlink" Target="Modele\SGN.xlsx" TargetMode="External"/><Relationship Id="rId2" Type="http://schemas.openxmlformats.org/officeDocument/2006/relationships/hyperlink" Target="Modele\DTR.xlsx" TargetMode="External"/><Relationship Id="rId1" Type="http://schemas.openxmlformats.org/officeDocument/2006/relationships/hyperlink" Target="Modele\VRC.xlsx" TargetMode="External"/><Relationship Id="rId6" Type="http://schemas.openxmlformats.org/officeDocument/2006/relationships/hyperlink" Target="Modele\NTT.xlsx" TargetMode="External"/><Relationship Id="rId11" Type="http://schemas.openxmlformats.org/officeDocument/2006/relationships/comments" Target="../comments1.xml"/><Relationship Id="rId5" Type="http://schemas.openxmlformats.org/officeDocument/2006/relationships/hyperlink" Target="Modele\CBF.xlsx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odele\QNT.xlsx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8E7B-A704-466A-9BF2-3C389C170792}">
  <dimension ref="A1:L29"/>
  <sheetViews>
    <sheetView tabSelected="1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defaultRowHeight="14.3" x14ac:dyDescent="0.25"/>
  <cols>
    <col min="1" max="1" width="13" customWidth="1"/>
    <col min="2" max="2" width="27.875" customWidth="1"/>
    <col min="3" max="3" width="12.375" customWidth="1"/>
    <col min="4" max="4" width="12.75" bestFit="1" customWidth="1"/>
    <col min="5" max="5" width="13.375" customWidth="1"/>
    <col min="6" max="6" width="11.75" bestFit="1" customWidth="1"/>
    <col min="7" max="9" width="11.75" customWidth="1"/>
    <col min="10" max="10" width="31.125" customWidth="1"/>
    <col min="11" max="11" width="19.625" customWidth="1"/>
    <col min="16" max="16" width="10.375" customWidth="1"/>
  </cols>
  <sheetData>
    <row r="1" spans="1:12" x14ac:dyDescent="0.25">
      <c r="A1" s="7" t="s">
        <v>5</v>
      </c>
      <c r="C1" s="5">
        <v>45473</v>
      </c>
      <c r="E1" t="s">
        <v>84</v>
      </c>
    </row>
    <row r="2" spans="1:12" s="1" customFormat="1" x14ac:dyDescent="0.25">
      <c r="A2" s="1" t="s">
        <v>7</v>
      </c>
      <c r="B2" s="1" t="s">
        <v>0</v>
      </c>
      <c r="C2" s="1" t="s">
        <v>9</v>
      </c>
      <c r="D2" s="1" t="s">
        <v>1</v>
      </c>
      <c r="E2" s="1" t="s">
        <v>3</v>
      </c>
      <c r="F2" s="1" t="s">
        <v>2</v>
      </c>
      <c r="G2" s="1" t="s">
        <v>82</v>
      </c>
      <c r="H2" s="1" t="s">
        <v>83</v>
      </c>
      <c r="J2" s="1" t="s">
        <v>4</v>
      </c>
      <c r="K2" s="1" t="s">
        <v>87</v>
      </c>
      <c r="L2" s="1" t="s">
        <v>24</v>
      </c>
    </row>
    <row r="3" spans="1:12" x14ac:dyDescent="0.25">
      <c r="A3" t="s">
        <v>73</v>
      </c>
      <c r="B3" s="6" t="s">
        <v>85</v>
      </c>
      <c r="C3" s="2">
        <v>135.5</v>
      </c>
      <c r="D3" s="3">
        <v>22.222999999999999</v>
      </c>
      <c r="E3" s="4">
        <f t="shared" ref="E3:E29" si="0">D3*C3</f>
        <v>3011.2165</v>
      </c>
      <c r="F3" s="4">
        <f>E3-G3+H3</f>
        <v>3217.1615000000002</v>
      </c>
      <c r="G3" s="4">
        <v>77.385999999999996</v>
      </c>
      <c r="H3" s="4">
        <f>103.031+84.239+96.061</f>
        <v>283.33100000000002</v>
      </c>
      <c r="K3" t="s">
        <v>88</v>
      </c>
      <c r="L3" t="s">
        <v>86</v>
      </c>
    </row>
    <row r="4" spans="1:12" x14ac:dyDescent="0.25">
      <c r="A4" t="s">
        <v>13</v>
      </c>
      <c r="B4" t="s">
        <v>12</v>
      </c>
      <c r="C4" s="2">
        <v>50.8</v>
      </c>
      <c r="D4" s="3">
        <v>51.894250999999997</v>
      </c>
      <c r="E4" s="4">
        <f t="shared" si="0"/>
        <v>2636.2279507999997</v>
      </c>
    </row>
    <row r="5" spans="1:12" x14ac:dyDescent="0.25">
      <c r="A5" t="s">
        <v>29</v>
      </c>
      <c r="B5" t="s">
        <v>30</v>
      </c>
      <c r="C5" s="2">
        <v>291.5</v>
      </c>
      <c r="D5" s="3">
        <v>8.1333490000000008</v>
      </c>
      <c r="E5" s="4">
        <f t="shared" si="0"/>
        <v>2370.8712335</v>
      </c>
      <c r="J5" t="s">
        <v>31</v>
      </c>
    </row>
    <row r="6" spans="1:12" x14ac:dyDescent="0.25">
      <c r="A6" t="s">
        <v>6</v>
      </c>
      <c r="B6" t="s">
        <v>8</v>
      </c>
      <c r="C6" s="2">
        <v>64.400000000000006</v>
      </c>
      <c r="D6" s="3">
        <v>33.418193000000002</v>
      </c>
      <c r="E6" s="4">
        <f t="shared" si="0"/>
        <v>2152.1316292000001</v>
      </c>
      <c r="F6" s="2"/>
      <c r="G6" s="2"/>
      <c r="H6" s="2"/>
      <c r="I6" s="2"/>
    </row>
    <row r="7" spans="1:12" x14ac:dyDescent="0.25">
      <c r="A7" t="s">
        <v>70</v>
      </c>
      <c r="B7" t="s">
        <v>71</v>
      </c>
      <c r="C7" s="2">
        <v>76.599999999999994</v>
      </c>
      <c r="D7" s="3">
        <v>25.75</v>
      </c>
      <c r="E7" s="4">
        <f t="shared" si="0"/>
        <v>1972.4499999999998</v>
      </c>
      <c r="J7" t="s">
        <v>23</v>
      </c>
      <c r="L7" t="s">
        <v>72</v>
      </c>
    </row>
    <row r="8" spans="1:12" x14ac:dyDescent="0.25">
      <c r="A8" t="s">
        <v>21</v>
      </c>
      <c r="B8" s="6" t="s">
        <v>22</v>
      </c>
      <c r="C8" s="2">
        <v>125</v>
      </c>
      <c r="D8" s="3">
        <v>14.17</v>
      </c>
      <c r="E8" s="4">
        <f t="shared" si="0"/>
        <v>1771.25</v>
      </c>
      <c r="J8" t="s">
        <v>23</v>
      </c>
      <c r="L8" t="s">
        <v>25</v>
      </c>
    </row>
    <row r="9" spans="1:12" x14ac:dyDescent="0.25">
      <c r="A9" t="s">
        <v>59</v>
      </c>
      <c r="B9" s="6" t="s">
        <v>60</v>
      </c>
      <c r="C9" s="2">
        <v>63.8</v>
      </c>
      <c r="D9" s="3">
        <f>22.759</f>
        <v>22.759</v>
      </c>
      <c r="E9" s="4">
        <f t="shared" si="0"/>
        <v>1452.0242000000001</v>
      </c>
      <c r="J9" t="s">
        <v>20</v>
      </c>
    </row>
    <row r="10" spans="1:12" x14ac:dyDescent="0.25">
      <c r="A10" t="s">
        <v>61</v>
      </c>
      <c r="B10" t="s">
        <v>62</v>
      </c>
      <c r="C10" s="2">
        <v>42.1</v>
      </c>
      <c r="D10" s="3">
        <v>28.134</v>
      </c>
      <c r="E10" s="4">
        <f t="shared" si="0"/>
        <v>1184.4414000000002</v>
      </c>
      <c r="J10" t="s">
        <v>63</v>
      </c>
    </row>
    <row r="11" spans="1:12" x14ac:dyDescent="0.25">
      <c r="A11" t="s">
        <v>26</v>
      </c>
      <c r="B11" t="s">
        <v>27</v>
      </c>
      <c r="C11" s="2">
        <v>102.5</v>
      </c>
      <c r="D11" s="3">
        <v>5.4616420000000003</v>
      </c>
      <c r="E11" s="2">
        <f t="shared" si="0"/>
        <v>559.81830500000001</v>
      </c>
      <c r="J11" t="s">
        <v>28</v>
      </c>
    </row>
    <row r="12" spans="1:12" x14ac:dyDescent="0.25">
      <c r="A12" t="s">
        <v>32</v>
      </c>
      <c r="B12" t="s">
        <v>33</v>
      </c>
      <c r="C12" s="2">
        <v>63.3</v>
      </c>
      <c r="D12" s="3">
        <f>5.632</f>
        <v>5.6319999999999997</v>
      </c>
      <c r="E12" s="2">
        <f t="shared" si="0"/>
        <v>356.50559999999996</v>
      </c>
      <c r="J12" t="s">
        <v>34</v>
      </c>
      <c r="L12" t="s">
        <v>35</v>
      </c>
    </row>
    <row r="13" spans="1:12" x14ac:dyDescent="0.25">
      <c r="A13" t="s">
        <v>77</v>
      </c>
      <c r="B13" s="6" t="s">
        <v>78</v>
      </c>
      <c r="C13" s="2">
        <v>125.4</v>
      </c>
      <c r="D13" s="3">
        <v>2.3490000000000002</v>
      </c>
      <c r="E13" s="2">
        <f t="shared" si="0"/>
        <v>294.56460000000004</v>
      </c>
      <c r="J13" t="s">
        <v>79</v>
      </c>
    </row>
    <row r="14" spans="1:12" x14ac:dyDescent="0.25">
      <c r="A14" t="s">
        <v>48</v>
      </c>
      <c r="B14" t="s">
        <v>49</v>
      </c>
      <c r="C14" s="2">
        <v>28.8</v>
      </c>
      <c r="D14" s="3">
        <v>9.952</v>
      </c>
      <c r="E14" s="2">
        <f t="shared" si="0"/>
        <v>286.61759999999998</v>
      </c>
      <c r="J14" t="s">
        <v>50</v>
      </c>
    </row>
    <row r="15" spans="1:12" x14ac:dyDescent="0.25">
      <c r="A15" t="s">
        <v>10</v>
      </c>
      <c r="B15" t="s">
        <v>11</v>
      </c>
      <c r="C15" s="2">
        <v>17.3</v>
      </c>
      <c r="D15" s="3">
        <v>12.355504</v>
      </c>
      <c r="E15" s="2">
        <f t="shared" si="0"/>
        <v>213.7502192</v>
      </c>
    </row>
    <row r="16" spans="1:12" x14ac:dyDescent="0.25">
      <c r="A16" t="s">
        <v>74</v>
      </c>
      <c r="B16" t="s">
        <v>75</v>
      </c>
      <c r="C16" s="2">
        <v>1.74</v>
      </c>
      <c r="D16" s="3">
        <v>91</v>
      </c>
      <c r="E16" s="2">
        <f t="shared" si="0"/>
        <v>158.34</v>
      </c>
      <c r="J16" t="s">
        <v>76</v>
      </c>
    </row>
    <row r="17" spans="1:10" x14ac:dyDescent="0.25">
      <c r="A17" t="s">
        <v>42</v>
      </c>
      <c r="B17" t="s">
        <v>43</v>
      </c>
      <c r="C17" s="2">
        <v>23.9</v>
      </c>
      <c r="D17" s="3">
        <f>6.4</f>
        <v>6.4</v>
      </c>
      <c r="E17" s="2">
        <f t="shared" si="0"/>
        <v>152.96</v>
      </c>
      <c r="J17" t="s">
        <v>44</v>
      </c>
    </row>
    <row r="18" spans="1:10" x14ac:dyDescent="0.25">
      <c r="A18" t="s">
        <v>15</v>
      </c>
      <c r="B18" t="s">
        <v>14</v>
      </c>
      <c r="C18" s="2">
        <v>3</v>
      </c>
      <c r="D18" s="3">
        <v>36.343344000000002</v>
      </c>
      <c r="E18" s="2">
        <f t="shared" si="0"/>
        <v>109.03003200000001</v>
      </c>
    </row>
    <row r="19" spans="1:10" x14ac:dyDescent="0.25">
      <c r="A19" t="s">
        <v>51</v>
      </c>
      <c r="B19" s="6" t="s">
        <v>52</v>
      </c>
      <c r="C19" s="2">
        <v>7.68</v>
      </c>
      <c r="D19" s="3">
        <v>13.85</v>
      </c>
      <c r="E19" s="2">
        <f t="shared" si="0"/>
        <v>106.36799999999999</v>
      </c>
      <c r="J19" t="s">
        <v>53</v>
      </c>
    </row>
    <row r="20" spans="1:10" x14ac:dyDescent="0.25">
      <c r="A20" t="s">
        <v>16</v>
      </c>
      <c r="B20" t="s">
        <v>17</v>
      </c>
      <c r="C20" s="2">
        <v>46.6</v>
      </c>
      <c r="D20" s="3">
        <v>2.2266149999999998</v>
      </c>
      <c r="E20" s="2">
        <f t="shared" si="0"/>
        <v>103.76025899999999</v>
      </c>
    </row>
    <row r="21" spans="1:10" x14ac:dyDescent="0.25">
      <c r="A21" t="s">
        <v>39</v>
      </c>
      <c r="B21" t="s">
        <v>40</v>
      </c>
      <c r="C21" s="2">
        <v>35.200000000000003</v>
      </c>
      <c r="D21" s="3">
        <f>2.266</f>
        <v>2.266</v>
      </c>
      <c r="E21" s="2">
        <f t="shared" si="0"/>
        <v>79.763200000000012</v>
      </c>
      <c r="J21" t="s">
        <v>41</v>
      </c>
    </row>
    <row r="22" spans="1:10" x14ac:dyDescent="0.25">
      <c r="A22" t="s">
        <v>64</v>
      </c>
      <c r="B22" t="s">
        <v>65</v>
      </c>
      <c r="C22" s="2">
        <v>3.8</v>
      </c>
      <c r="D22" s="3">
        <v>17.463000000000001</v>
      </c>
      <c r="E22" s="2">
        <f t="shared" si="0"/>
        <v>66.359399999999994</v>
      </c>
      <c r="J22" t="s">
        <v>66</v>
      </c>
    </row>
    <row r="23" spans="1:10" x14ac:dyDescent="0.25">
      <c r="A23" t="s">
        <v>67</v>
      </c>
      <c r="B23" t="s">
        <v>68</v>
      </c>
      <c r="C23" s="2">
        <v>16.5</v>
      </c>
      <c r="D23" s="3">
        <v>3</v>
      </c>
      <c r="E23" s="2">
        <f t="shared" si="0"/>
        <v>49.5</v>
      </c>
      <c r="J23" t="s">
        <v>69</v>
      </c>
    </row>
    <row r="24" spans="1:10" x14ac:dyDescent="0.25">
      <c r="A24" t="s">
        <v>45</v>
      </c>
      <c r="B24" t="s">
        <v>46</v>
      </c>
      <c r="C24" s="2">
        <v>14</v>
      </c>
      <c r="D24" s="3">
        <v>3.26</v>
      </c>
      <c r="E24" s="2">
        <f t="shared" si="0"/>
        <v>45.64</v>
      </c>
      <c r="J24" t="s">
        <v>47</v>
      </c>
    </row>
    <row r="25" spans="1:10" x14ac:dyDescent="0.25">
      <c r="A25" t="s">
        <v>80</v>
      </c>
      <c r="B25" t="s">
        <v>81</v>
      </c>
      <c r="C25" s="2">
        <v>6.5</v>
      </c>
      <c r="D25" s="3">
        <v>6.9560000000000004</v>
      </c>
      <c r="E25" s="2">
        <f t="shared" si="0"/>
        <v>45.214000000000006</v>
      </c>
      <c r="J25" t="s">
        <v>20</v>
      </c>
    </row>
    <row r="26" spans="1:10" x14ac:dyDescent="0.25">
      <c r="A26" s="8" t="s">
        <v>54</v>
      </c>
      <c r="B26" s="8"/>
      <c r="C26" s="9">
        <v>5.22</v>
      </c>
      <c r="D26" s="10">
        <v>7.8710000000000004</v>
      </c>
      <c r="E26" s="9">
        <f t="shared" si="0"/>
        <v>41.086620000000003</v>
      </c>
      <c r="F26" s="8"/>
      <c r="G26" s="8"/>
      <c r="H26" s="8"/>
      <c r="I26" s="8"/>
      <c r="J26" s="8" t="s">
        <v>55</v>
      </c>
    </row>
    <row r="27" spans="1:10" x14ac:dyDescent="0.25">
      <c r="A27" t="s">
        <v>56</v>
      </c>
      <c r="B27" s="6" t="s">
        <v>57</v>
      </c>
      <c r="C27" s="2">
        <v>26.4</v>
      </c>
      <c r="D27" s="3">
        <f>1.364</f>
        <v>1.3640000000000001</v>
      </c>
      <c r="E27" s="2">
        <f t="shared" si="0"/>
        <v>36.009599999999999</v>
      </c>
      <c r="F27" s="2">
        <f>E27-G27+H27</f>
        <v>34.450999999999993</v>
      </c>
      <c r="G27" s="2">
        <f>6.984</f>
        <v>6.984</v>
      </c>
      <c r="H27" s="2">
        <f>0.0424+5.383</f>
        <v>5.4253999999999998</v>
      </c>
      <c r="J27" t="s">
        <v>58</v>
      </c>
    </row>
    <row r="28" spans="1:10" x14ac:dyDescent="0.25">
      <c r="A28" t="s">
        <v>18</v>
      </c>
      <c r="B28" s="6" t="s">
        <v>19</v>
      </c>
      <c r="C28" s="2">
        <v>6</v>
      </c>
      <c r="D28" s="3">
        <v>4.04</v>
      </c>
      <c r="E28" s="2">
        <f t="shared" si="0"/>
        <v>24.240000000000002</v>
      </c>
      <c r="F28" s="2">
        <f>E28-G28+H28</f>
        <v>20.372100000000003</v>
      </c>
      <c r="G28" s="2">
        <f>8.546+0.321</f>
        <v>8.8669999999999991</v>
      </c>
      <c r="H28" s="2">
        <v>4.9991000000000003</v>
      </c>
      <c r="J28" t="s">
        <v>20</v>
      </c>
    </row>
    <row r="29" spans="1:10" x14ac:dyDescent="0.25">
      <c r="A29" t="s">
        <v>36</v>
      </c>
      <c r="B29" s="6" t="s">
        <v>37</v>
      </c>
      <c r="C29" s="2">
        <v>9.6</v>
      </c>
      <c r="D29" s="3">
        <f>2.485775</f>
        <v>2.4857749999999998</v>
      </c>
      <c r="E29" s="2">
        <f t="shared" si="0"/>
        <v>23.863439999999997</v>
      </c>
      <c r="F29" s="2">
        <f>E29+H29-G29</f>
        <v>25.903439999999996</v>
      </c>
      <c r="G29">
        <v>2.99</v>
      </c>
      <c r="H29">
        <v>5.03</v>
      </c>
      <c r="J29" t="s">
        <v>38</v>
      </c>
    </row>
  </sheetData>
  <autoFilter ref="A2:L29" xr:uid="{1B868E7B-A704-466A-9BF2-3C389C170792}">
    <sortState xmlns:xlrd2="http://schemas.microsoft.com/office/spreadsheetml/2017/richdata2" ref="A3:L29">
      <sortCondition descending="1" ref="E2:E29"/>
    </sortState>
  </autoFilter>
  <conditionalFormatting sqref="K3">
    <cfRule type="cellIs" dxfId="3" priority="7" operator="equal">
      <formula>"LONG"</formula>
    </cfRule>
    <cfRule type="cellIs" dxfId="2" priority="8" operator="equal">
      <formula>"SHORT"</formula>
    </cfRule>
  </conditionalFormatting>
  <conditionalFormatting sqref="K27:K29">
    <cfRule type="cellIs" dxfId="1" priority="1" operator="equal">
      <formula>"LONG"</formula>
    </cfRule>
    <cfRule type="cellIs" dxfId="0" priority="2" operator="equal">
      <formula>"SHORT"</formula>
    </cfRule>
  </conditionalFormatting>
  <hyperlinks>
    <hyperlink ref="B3" r:id="rId1" xr:uid="{067AC128-5CB9-41FE-9BC9-A621346D9A83}"/>
    <hyperlink ref="B29" r:id="rId2" xr:uid="{ED951881-BFA4-458D-B359-CC7C464A464C}"/>
    <hyperlink ref="B28" r:id="rId3" xr:uid="{30D82F6D-6FFB-4950-8E04-F39A9ADC0742}"/>
    <hyperlink ref="B27" r:id="rId4" xr:uid="{B4D51DB0-7C2B-4F78-8003-9897B4BFA6BB}"/>
    <hyperlink ref="B8" r:id="rId5" xr:uid="{A466BC41-E66A-40C7-9D92-7026A81D4769}"/>
    <hyperlink ref="B19" r:id="rId6" xr:uid="{69943BAC-5A5C-4321-9096-188E370EE436}"/>
    <hyperlink ref="B9" r:id="rId7" xr:uid="{E90B91F9-5BC0-4B9F-B6AE-9646E69B793D}"/>
    <hyperlink ref="B13" r:id="rId8" xr:uid="{2CA5D031-0141-4A4A-A782-65376F9037EB}"/>
  </hyperlinks>
  <pageMargins left="0.7" right="0.7" top="0.75" bottom="0.75" header="0.3" footer="0.3"/>
  <pageSetup orientation="portrait"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Dawid Najdzionek</cp:lastModifiedBy>
  <dcterms:created xsi:type="dcterms:W3CDTF">2024-06-29T22:14:50Z</dcterms:created>
  <dcterms:modified xsi:type="dcterms:W3CDTF">2025-12-18T21:22:20Z</dcterms:modified>
</cp:coreProperties>
</file>