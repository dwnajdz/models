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Modele\"/>
    </mc:Choice>
  </mc:AlternateContent>
  <xr:revisionPtr revIDLastSave="0" documentId="13_ncr:1_{DED292A8-C116-4BF0-81C4-0157AA23F9CF}" xr6:coauthVersionLast="47" xr6:coauthVersionMax="47" xr10:uidLastSave="{00000000-0000-0000-0000-000000000000}"/>
  <bookViews>
    <workbookView xWindow="-120" yWindow="-120" windowWidth="38640" windowHeight="21240" activeTab="1" xr2:uid="{0D87664D-0175-41E5-91CD-331080D3E5B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" l="1"/>
  <c r="J12" i="2"/>
  <c r="J11" i="2"/>
  <c r="J9" i="2"/>
  <c r="J8" i="2"/>
  <c r="J7" i="2"/>
  <c r="J6" i="2"/>
  <c r="J4" i="2"/>
  <c r="J3" i="2"/>
  <c r="J5" i="2"/>
  <c r="N14" i="2"/>
  <c r="N25" i="2" s="1"/>
  <c r="N12" i="2"/>
  <c r="N11" i="2"/>
  <c r="N23" i="2"/>
  <c r="N20" i="2"/>
  <c r="N19" i="2"/>
  <c r="N13" i="2"/>
  <c r="N10" i="2"/>
  <c r="N9" i="2"/>
  <c r="N8" i="2"/>
  <c r="N7" i="2"/>
  <c r="N6" i="2"/>
  <c r="N5" i="2"/>
  <c r="N4" i="2"/>
  <c r="N3" i="2"/>
  <c r="X23" i="2"/>
  <c r="W5" i="2"/>
  <c r="W19" i="2" s="1"/>
  <c r="I14" i="2"/>
  <c r="I12" i="2"/>
  <c r="I11" i="2"/>
  <c r="I9" i="2"/>
  <c r="I8" i="2"/>
  <c r="I7" i="2"/>
  <c r="I6" i="2"/>
  <c r="I4" i="2"/>
  <c r="I3" i="2"/>
  <c r="M14" i="2"/>
  <c r="M12" i="2"/>
  <c r="M11" i="2"/>
  <c r="M9" i="2"/>
  <c r="M8" i="2"/>
  <c r="M7" i="2"/>
  <c r="M6" i="2"/>
  <c r="M4" i="2"/>
  <c r="M3" i="2"/>
  <c r="M5" i="2" s="1"/>
  <c r="X5" i="2"/>
  <c r="X19" i="2" s="1"/>
  <c r="Y2" i="2"/>
  <c r="Z2" i="2"/>
  <c r="AA2" i="2" s="1"/>
  <c r="AB2" i="2" s="1"/>
  <c r="AC2" i="2" s="1"/>
  <c r="AD2" i="2" s="1"/>
  <c r="AE2" i="2" s="1"/>
  <c r="J19" i="2" l="1"/>
  <c r="J10" i="2"/>
  <c r="N15" i="2"/>
  <c r="N17" i="2" s="1"/>
  <c r="N21" i="2"/>
  <c r="M19" i="2"/>
  <c r="M10" i="2"/>
  <c r="M23" i="2"/>
  <c r="W10" i="2"/>
  <c r="X10" i="2"/>
  <c r="X20" i="2" s="1"/>
  <c r="I5" i="2"/>
  <c r="I10" i="2" s="1"/>
  <c r="H5" i="2"/>
  <c r="H10" i="2" s="1"/>
  <c r="H20" i="2" s="1"/>
  <c r="L23" i="2"/>
  <c r="L5" i="2"/>
  <c r="L10" i="2" s="1"/>
  <c r="L13" i="2" s="1"/>
  <c r="M7" i="1"/>
  <c r="M6" i="1"/>
  <c r="M8" i="1" s="1"/>
  <c r="M5" i="1"/>
  <c r="J13" i="2" l="1"/>
  <c r="J20" i="2"/>
  <c r="M13" i="2"/>
  <c r="M20" i="2"/>
  <c r="W20" i="2"/>
  <c r="W13" i="2"/>
  <c r="X13" i="2"/>
  <c r="X25" i="2" s="1"/>
  <c r="I19" i="2"/>
  <c r="I20" i="2"/>
  <c r="I13" i="2"/>
  <c r="I15" i="2" s="1"/>
  <c r="H19" i="2"/>
  <c r="H13" i="2"/>
  <c r="L19" i="2"/>
  <c r="L20" i="2"/>
  <c r="L15" i="2"/>
  <c r="L25" i="2"/>
  <c r="J15" i="2" l="1"/>
  <c r="J25" i="2"/>
  <c r="M15" i="2"/>
  <c r="M25" i="2"/>
  <c r="W15" i="2"/>
  <c r="X15" i="2"/>
  <c r="X17" i="2" s="1"/>
  <c r="L17" i="2"/>
  <c r="L21" i="2"/>
  <c r="H15" i="2"/>
  <c r="J21" i="2" l="1"/>
  <c r="J17" i="2"/>
  <c r="M17" i="2"/>
  <c r="M21" i="2"/>
  <c r="W21" i="2"/>
  <c r="W17" i="2"/>
  <c r="X21" i="2"/>
  <c r="I17" i="2"/>
  <c r="I21" i="2"/>
  <c r="H21" i="2"/>
  <c r="H17" i="2"/>
</calcChain>
</file>

<file path=xl/sharedStrings.xml><?xml version="1.0" encoding="utf-8"?>
<sst xmlns="http://schemas.openxmlformats.org/spreadsheetml/2006/main" count="47" uniqueCount="46">
  <si>
    <t>Main</t>
  </si>
  <si>
    <t>Shares</t>
  </si>
  <si>
    <t>Price</t>
  </si>
  <si>
    <t>MC</t>
  </si>
  <si>
    <t>Cash</t>
  </si>
  <si>
    <t>Debt</t>
  </si>
  <si>
    <t>EV</t>
  </si>
  <si>
    <t>Q1 24</t>
  </si>
  <si>
    <t>Q124</t>
  </si>
  <si>
    <t>(tys. zł)</t>
  </si>
  <si>
    <t>Przychody</t>
  </si>
  <si>
    <t>Koszt sprzedaży</t>
  </si>
  <si>
    <t>Zysk brutto</t>
  </si>
  <si>
    <t>Q122</t>
  </si>
  <si>
    <t>Q121</t>
  </si>
  <si>
    <t>Q221</t>
  </si>
  <si>
    <t>Q321</t>
  </si>
  <si>
    <t>Q421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</si>
  <si>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</si>
  <si>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</si>
  <si>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</si>
  <si>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</si>
  <si>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</si>
  <si>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</si>
  <si>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</si>
  <si>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</si>
  <si>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</si>
  <si>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</si>
  <si>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Koszt własny sprz.</t>
  </si>
  <si>
    <t>Koszty zarządu</t>
  </si>
  <si>
    <t>Przychody operacyjne</t>
  </si>
  <si>
    <t>Zysk operacyjny</t>
  </si>
  <si>
    <t>Koszty operacyjne</t>
  </si>
  <si>
    <t>Przychody finansowe</t>
  </si>
  <si>
    <t>Koszty finansowe</t>
  </si>
  <si>
    <t>Zysk przed podatkiem</t>
  </si>
  <si>
    <t>Podatek</t>
  </si>
  <si>
    <t>Zysk netto</t>
  </si>
  <si>
    <t>Akcje</t>
  </si>
  <si>
    <t>EPS</t>
  </si>
  <si>
    <t>(tys. PLN)</t>
  </si>
  <si>
    <t>Przychody R/R</t>
  </si>
  <si>
    <t>Marża brutto</t>
  </si>
  <si>
    <t>Marża operacyjna</t>
  </si>
  <si>
    <t>Marża netto</t>
  </si>
  <si>
    <t>Opodatkowanie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</si>
</sst>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14" fontId="0" fillId="0" borderId="0" xfId="0" applyNumberFormat="1"/>
    <xf numFmtId="3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0" fillId="0" borderId="0" xfId="0" applyBorder="1"/>
    <xf numFmtId="3" fontId="0" fillId="0" borderId="0" xfId="0" applyNumberFormat="1" applyBorder="1"/>
    <xf numFmtId="0" fontId="0" fillId="0" borderId="0" xfId="0" applyFill="1" applyBorder="1"/>
    <xf numFmtId="3" fontId="0" fillId="0" borderId="0" xfId="0" applyNumberForma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4" fillId="0" borderId="0" xfId="0" applyFont="1"/>
    <xf numFmtId="4" fontId="4" fillId="0" borderId="0" xfId="0" applyNumberFormat="1" applyFont="1"/>
    <xf numFmtId="9" fontId="0" fillId="0" borderId="0" xfId="0" applyNumberFormat="1"/>
    <xf numFmtId="9" fontId="3" fillId="0" borderId="0" xfId="0" applyNumberFormat="1" applyFont="1"/>
    <xf numFmtId="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38100</xdr:rowOff>
    </xdr:from>
    <xdr:to>
      <xdr:col>15</xdr:col>
      <xdr:colOff>9525</xdr:colOff>
      <xdr:row>24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B0FBCF1-EAC8-47FE-9914-CD445AEB7C0A}"/>
            </a:ext>
          </a:extLst>
        </xdr:cNvPr>
        <xdr:cNvCxnSpPr/>
      </xdr:nvCxnSpPr>
      <xdr:spPr>
        <a:xfrm>
          <a:off x="9534525" y="38100"/>
          <a:ext cx="9525" cy="3609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9BDB-6537-4F55-9022-CF4A5D3470A5}">
  <dimension ref="L2:N8"/>
  <sheetViews>
    <sheetView workbookViewId="0">
      <selection activeCell="M8" sqref="M8"/>
    </sheetView>
  </sheetViews>
  <sheetFormatPr defaultRowHeight="15" x14ac:dyDescent="0.25"/>
  <cols>
    <col min="14" max="14" width="10.140625" bestFit="1" customWidth="1"/>
  </cols>
  <sheetData>
    <row r="2" spans="12:14" x14ac:dyDescent="0.25">
      <c r="M2" s="4" t="s">
        <v>9</v>
      </c>
    </row>
    <row r="3" spans="12:14" x14ac:dyDescent="0.25">
      <c r="L3" t="s">
        <v>2</v>
      </c>
      <c r="M3">
        <v>4.28</v>
      </c>
      <c r="N3" s="5">
        <v>45495</v>
      </c>
    </row>
    <row r="4" spans="12:14" x14ac:dyDescent="0.25">
      <c r="L4" t="s">
        <v>1</v>
      </c>
      <c r="M4" s="3">
        <v>4040</v>
      </c>
    </row>
    <row r="5" spans="12:14" x14ac:dyDescent="0.25">
      <c r="L5" t="s">
        <v>3</v>
      </c>
      <c r="M5" s="3">
        <f>M3*M4</f>
        <v>17291.2</v>
      </c>
    </row>
    <row r="6" spans="12:14" x14ac:dyDescent="0.25">
      <c r="L6" t="s">
        <v>4</v>
      </c>
      <c r="M6" s="3">
        <f>8546+321</f>
        <v>8867</v>
      </c>
      <c r="N6" t="s">
        <v>7</v>
      </c>
    </row>
    <row r="7" spans="12:14" x14ac:dyDescent="0.25">
      <c r="L7" t="s">
        <v>5</v>
      </c>
      <c r="M7" s="3">
        <f>2964+2027</f>
        <v>4991</v>
      </c>
      <c r="N7" t="s">
        <v>7</v>
      </c>
    </row>
    <row r="8" spans="12:14" x14ac:dyDescent="0.25">
      <c r="L8" t="s">
        <v>6</v>
      </c>
      <c r="M8" s="3">
        <f>M5+M7-M6</f>
        <v>13415.2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AAB6-42BF-4636-8CFD-8A8AF482385E}">
  <dimension ref="A1:AE1048576"/>
  <sheetViews>
    <sheetView tabSelected="1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3" sqref="H3"/>
    </sheetView>
  </sheetViews>
  <sheetFormatPr defaultRowHeight="15" x14ac:dyDescent="0.25"/>
  <cols>
    <col min="2" max="2" width="20.5703125" bestFit="1" customWidth="1"/>
    <col min="3" max="6" width="11" customWidth="1"/>
    <col min="7" max="7" width="10.140625" bestFit="1" customWidth="1"/>
    <col min="8" max="10" width="10.7109375" customWidth="1"/>
    <col min="11" max="11" width="10.140625" bestFit="1" customWidth="1"/>
    <col min="12" max="15" width="10.42578125" customWidth="1"/>
    <col min="25" max="25" width="11.140625" bestFit="1" customWidth="1"/>
  </cols>
  <sheetData>
    <row r="1" spans="1:31" x14ac:dyDescent="0.25">
      <c r="A1" s="1" t="s">
        <v>0</v>
      </c>
      <c r="H1" s="2">
        <v>44742</v>
      </c>
      <c r="I1" s="2">
        <v>44834</v>
      </c>
      <c r="L1" s="2">
        <v>45107</v>
      </c>
    </row>
    <row r="2" spans="1:31" x14ac:dyDescent="0.25">
      <c r="A2" t="s">
        <v>40</v>
      </c>
      <c r="C2" t="s">
        <v>14</v>
      </c>
      <c r="D2" t="s">
        <v>15</v>
      </c>
      <c r="E2" t="s">
        <v>16</v>
      </c>
      <c r="F2" t="s">
        <v>17</v>
      </c>
      <c r="G2" t="s">
        <v>13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8</v>
      </c>
      <c r="P2" t="s">
        <v>25</v>
      </c>
      <c r="Q2" t="s">
        <v>26</v>
      </c>
      <c r="R2" t="s">
        <v>27</v>
      </c>
      <c r="U2">
        <v>2020</v>
      </c>
      <c r="V2">
        <v>2021</v>
      </c>
      <c r="W2">
        <v>2022</v>
      </c>
      <c r="X2">
        <v>2023</v>
      </c>
      <c r="Y2">
        <f>X2+1</f>
        <v>2024</v>
      </c>
      <c r="Z2">
        <f>Y2+1</f>
        <v>2025</v>
      </c>
      <c r="AA2">
        <f>Z2+1</f>
        <v>2026</v>
      </c>
      <c r="AB2">
        <f t="shared" ref="AB2:AF2" si="0">AA2+1</f>
        <v>2027</v>
      </c>
      <c r="AC2">
        <f t="shared" si="0"/>
        <v>2028</v>
      </c>
      <c r="AD2">
        <f t="shared" si="0"/>
        <v>2029</v>
      </c>
      <c r="AE2">
        <f t="shared" si="0"/>
        <v>2030</v>
      </c>
    </row>
    <row r="3" spans="1:31" x14ac:dyDescent="0.25">
      <c r="B3" t="s">
        <v>10</v>
      </c>
      <c r="H3" s="3">
        <v>29812</v>
      </c>
      <c r="I3" s="3">
        <f>60118-H3</f>
        <v>30306</v>
      </c>
      <c r="J3" s="3">
        <f>W3-H3-I3</f>
        <v>58114</v>
      </c>
      <c r="L3" s="3">
        <v>46263</v>
      </c>
      <c r="M3" s="3">
        <f>83155-L3</f>
        <v>36892</v>
      </c>
      <c r="N3" s="3">
        <f>X3-L3-M3</f>
        <v>62918</v>
      </c>
      <c r="W3" s="3">
        <v>118232</v>
      </c>
      <c r="X3" s="3">
        <v>146073</v>
      </c>
    </row>
    <row r="4" spans="1:31" x14ac:dyDescent="0.25">
      <c r="B4" t="s">
        <v>28</v>
      </c>
      <c r="H4" s="3">
        <v>25828</v>
      </c>
      <c r="I4" s="3">
        <f>53313-H4</f>
        <v>27485</v>
      </c>
      <c r="J4" s="3">
        <f>W4-H4-I4</f>
        <v>51864</v>
      </c>
      <c r="L4" s="3">
        <v>40797</v>
      </c>
      <c r="M4" s="3">
        <f>72126-L4</f>
        <v>31329</v>
      </c>
      <c r="N4" s="3">
        <f>X4-L4-M4</f>
        <v>56673</v>
      </c>
      <c r="W4" s="3">
        <v>105177</v>
      </c>
      <c r="X4" s="3">
        <v>128799</v>
      </c>
    </row>
    <row r="5" spans="1:31" s="6" customFormat="1" x14ac:dyDescent="0.25">
      <c r="B5" s="6" t="s">
        <v>12</v>
      </c>
      <c r="H5" s="7">
        <f>H3-H4</f>
        <v>3984</v>
      </c>
      <c r="I5" s="7">
        <f>I3-I4</f>
        <v>2821</v>
      </c>
      <c r="J5" s="7">
        <f>J3-J4</f>
        <v>6250</v>
      </c>
      <c r="L5" s="7">
        <f>L3-L4</f>
        <v>5466</v>
      </c>
      <c r="M5" s="7">
        <f>M3-M4</f>
        <v>5563</v>
      </c>
      <c r="N5" s="7">
        <f>N3-N4</f>
        <v>6245</v>
      </c>
      <c r="W5" s="7">
        <f>W3-W4</f>
        <v>13055</v>
      </c>
      <c r="X5" s="7">
        <f>X3-X4</f>
        <v>17274</v>
      </c>
    </row>
    <row r="6" spans="1:31" x14ac:dyDescent="0.25">
      <c r="B6" t="s">
        <v>11</v>
      </c>
      <c r="H6" s="3">
        <v>2957</v>
      </c>
      <c r="I6" s="3">
        <f>6167-H6</f>
        <v>3210</v>
      </c>
      <c r="J6" s="3">
        <f t="shared" ref="J6:J9" si="1">W6-H6-I6</f>
        <v>3893</v>
      </c>
      <c r="L6" s="3">
        <v>4123</v>
      </c>
      <c r="M6" s="3">
        <f>7567-L6</f>
        <v>3444</v>
      </c>
      <c r="N6" s="3">
        <f t="shared" ref="N6:N14" si="2">X6-L6-M6</f>
        <v>3575</v>
      </c>
      <c r="W6" s="3">
        <v>10060</v>
      </c>
      <c r="X6" s="3">
        <v>11142</v>
      </c>
    </row>
    <row r="7" spans="1:31" x14ac:dyDescent="0.25">
      <c r="B7" t="s">
        <v>29</v>
      </c>
      <c r="H7" s="3">
        <v>1866</v>
      </c>
      <c r="I7" s="3">
        <f>4150-H7</f>
        <v>2284</v>
      </c>
      <c r="J7" s="3">
        <f t="shared" si="1"/>
        <v>2125</v>
      </c>
      <c r="L7" s="3">
        <v>1121</v>
      </c>
      <c r="M7" s="3">
        <f>3048-L7</f>
        <v>1927</v>
      </c>
      <c r="N7" s="3">
        <f t="shared" si="2"/>
        <v>1824</v>
      </c>
      <c r="W7" s="3">
        <v>6275</v>
      </c>
      <c r="X7" s="3">
        <v>4872</v>
      </c>
    </row>
    <row r="8" spans="1:31" s="8" customFormat="1" x14ac:dyDescent="0.25">
      <c r="B8" s="10" t="s">
        <v>32</v>
      </c>
      <c r="H8" s="9">
        <v>16</v>
      </c>
      <c r="I8" s="9">
        <f>32-H8</f>
        <v>16</v>
      </c>
      <c r="J8" s="3">
        <f t="shared" si="1"/>
        <v>165</v>
      </c>
      <c r="L8" s="9">
        <v>1</v>
      </c>
      <c r="M8" s="9">
        <f>33-L8</f>
        <v>32</v>
      </c>
      <c r="N8" s="3">
        <f t="shared" si="2"/>
        <v>42</v>
      </c>
      <c r="W8" s="3">
        <v>197</v>
      </c>
      <c r="X8" s="3">
        <v>75</v>
      </c>
    </row>
    <row r="9" spans="1:31" s="8" customFormat="1" x14ac:dyDescent="0.25">
      <c r="B9" s="8" t="s">
        <v>30</v>
      </c>
      <c r="H9" s="9">
        <v>911</v>
      </c>
      <c r="I9" s="9">
        <f>1909-H9</f>
        <v>998</v>
      </c>
      <c r="J9" s="3">
        <f t="shared" si="1"/>
        <v>951</v>
      </c>
      <c r="L9" s="9">
        <v>886</v>
      </c>
      <c r="M9" s="9">
        <f>1295-L9</f>
        <v>409</v>
      </c>
      <c r="N9" s="3">
        <f t="shared" si="2"/>
        <v>424</v>
      </c>
      <c r="W9" s="3">
        <v>2860</v>
      </c>
      <c r="X9" s="3">
        <v>1719</v>
      </c>
    </row>
    <row r="10" spans="1:31" s="6" customFormat="1" x14ac:dyDescent="0.25">
      <c r="B10" s="6" t="s">
        <v>31</v>
      </c>
      <c r="H10" s="7">
        <f>H5-SUM(H6:H8)+H9</f>
        <v>56</v>
      </c>
      <c r="I10" s="7">
        <f>I5-SUM(I6:I8)+I9</f>
        <v>-1691</v>
      </c>
      <c r="J10" s="7">
        <f>J5-SUM(J6:J8)+J9</f>
        <v>1018</v>
      </c>
      <c r="L10" s="7">
        <f>L5-SUM(L6:L8)+L9</f>
        <v>1107</v>
      </c>
      <c r="M10" s="7">
        <f>M5-SUM(M6:M8)+M9</f>
        <v>569</v>
      </c>
      <c r="N10" s="7">
        <f>N5-SUM(N6:N8)+N9</f>
        <v>1228</v>
      </c>
      <c r="W10" s="7">
        <f>W5-SUM(W6:W8)+W9</f>
        <v>-617</v>
      </c>
      <c r="X10" s="7">
        <f>X5-SUM(X6:X8)+X9</f>
        <v>2904</v>
      </c>
    </row>
    <row r="11" spans="1:31" x14ac:dyDescent="0.25">
      <c r="B11" s="10" t="s">
        <v>33</v>
      </c>
      <c r="H11" s="11">
        <v>52</v>
      </c>
      <c r="I11" s="3">
        <f>338-H11</f>
        <v>286</v>
      </c>
      <c r="J11" s="3">
        <f t="shared" ref="J11:J12" si="3">W11-H11-I11</f>
        <v>-188</v>
      </c>
      <c r="L11" s="11">
        <v>55</v>
      </c>
      <c r="M11" s="3">
        <f>60-L11</f>
        <v>5</v>
      </c>
      <c r="N11" s="3">
        <f t="shared" si="2"/>
        <v>20</v>
      </c>
      <c r="W11" s="3">
        <v>150</v>
      </c>
      <c r="X11" s="3">
        <v>80</v>
      </c>
    </row>
    <row r="12" spans="1:31" x14ac:dyDescent="0.25">
      <c r="B12" s="10" t="s">
        <v>34</v>
      </c>
      <c r="H12" s="11">
        <v>118</v>
      </c>
      <c r="I12" s="3">
        <f>326-H12</f>
        <v>208</v>
      </c>
      <c r="J12" s="3">
        <f t="shared" si="3"/>
        <v>45</v>
      </c>
      <c r="L12" s="11">
        <v>299</v>
      </c>
      <c r="M12" s="3">
        <f>265-L12</f>
        <v>-34</v>
      </c>
      <c r="N12" s="3">
        <f t="shared" si="2"/>
        <v>234</v>
      </c>
      <c r="W12" s="3">
        <v>371</v>
      </c>
      <c r="X12" s="3">
        <v>499</v>
      </c>
    </row>
    <row r="13" spans="1:31" s="6" customFormat="1" x14ac:dyDescent="0.25">
      <c r="B13" s="12" t="s">
        <v>35</v>
      </c>
      <c r="H13" s="7">
        <f>H10-H12+H11</f>
        <v>-10</v>
      </c>
      <c r="I13" s="7">
        <f>I10-I12+I11</f>
        <v>-1613</v>
      </c>
      <c r="J13" s="7">
        <f>J10-J12+J11</f>
        <v>785</v>
      </c>
      <c r="L13" s="7">
        <f>L10-L12+L11</f>
        <v>863</v>
      </c>
      <c r="M13" s="7">
        <f>M10-M12+M11</f>
        <v>608</v>
      </c>
      <c r="N13" s="7">
        <f>N10-N12+N11</f>
        <v>1014</v>
      </c>
      <c r="W13" s="7">
        <f>W10-W12+W11</f>
        <v>-838</v>
      </c>
      <c r="X13" s="7">
        <f>X10-X12+X11</f>
        <v>2485</v>
      </c>
    </row>
    <row r="14" spans="1:31" x14ac:dyDescent="0.25">
      <c r="B14" s="10" t="s">
        <v>36</v>
      </c>
      <c r="H14" s="11">
        <v>6</v>
      </c>
      <c r="I14" s="3">
        <f>-27-H14</f>
        <v>-33</v>
      </c>
      <c r="J14" s="3">
        <f>W14-H14-I14</f>
        <v>106</v>
      </c>
      <c r="L14" s="11">
        <v>233</v>
      </c>
      <c r="M14" s="3">
        <f>347-L14</f>
        <v>114</v>
      </c>
      <c r="N14" s="3">
        <f t="shared" si="2"/>
        <v>274</v>
      </c>
      <c r="W14" s="3">
        <v>79</v>
      </c>
      <c r="X14" s="3">
        <v>621</v>
      </c>
    </row>
    <row r="15" spans="1:31" s="6" customFormat="1" x14ac:dyDescent="0.25">
      <c r="B15" s="12" t="s">
        <v>37</v>
      </c>
      <c r="H15" s="7">
        <f>H13-H14</f>
        <v>-16</v>
      </c>
      <c r="I15" s="7">
        <f>I13-I14</f>
        <v>-1580</v>
      </c>
      <c r="J15" s="7">
        <f>J13-J14</f>
        <v>679</v>
      </c>
      <c r="L15" s="7">
        <f>L13-L14</f>
        <v>630</v>
      </c>
      <c r="M15" s="7">
        <f>M13-M14</f>
        <v>494</v>
      </c>
      <c r="N15" s="7">
        <f>N13-N14</f>
        <v>740</v>
      </c>
      <c r="W15" s="7">
        <f>W13-W14</f>
        <v>-917</v>
      </c>
      <c r="X15" s="7">
        <f>X13-X14</f>
        <v>1864</v>
      </c>
    </row>
    <row r="16" spans="1:31" x14ac:dyDescent="0.25">
      <c r="B16" s="10" t="s">
        <v>38</v>
      </c>
      <c r="H16" s="11">
        <v>2020</v>
      </c>
      <c r="I16" s="3">
        <v>4040</v>
      </c>
      <c r="J16" s="3">
        <v>4040</v>
      </c>
      <c r="K16" s="3"/>
      <c r="L16" s="11">
        <v>4040</v>
      </c>
      <c r="M16" s="3">
        <v>4040</v>
      </c>
      <c r="N16" s="3">
        <v>4040</v>
      </c>
      <c r="W16" s="3">
        <v>2020</v>
      </c>
      <c r="X16" s="3">
        <v>4040</v>
      </c>
    </row>
    <row r="17" spans="2:24" s="14" customFormat="1" x14ac:dyDescent="0.25">
      <c r="B17" s="13" t="s">
        <v>39</v>
      </c>
      <c r="H17" s="15">
        <f>H15/H16</f>
        <v>-7.9207920792079209E-3</v>
      </c>
      <c r="I17" s="15">
        <f>I15/I16</f>
        <v>-0.3910891089108911</v>
      </c>
      <c r="J17" s="15">
        <f>J15/J16</f>
        <v>0.16806930693069308</v>
      </c>
      <c r="L17" s="15">
        <f>L15/L16</f>
        <v>0.15594059405940594</v>
      </c>
      <c r="M17" s="15">
        <f>M15/M16</f>
        <v>0.12227722772277227</v>
      </c>
      <c r="N17" s="15">
        <f>N15/N16</f>
        <v>0.18316831683168316</v>
      </c>
      <c r="W17" s="15">
        <f>W15/W16</f>
        <v>-0.45396039603960398</v>
      </c>
      <c r="X17" s="15">
        <f>X15/X16</f>
        <v>0.46138613861386141</v>
      </c>
    </row>
    <row r="19" spans="2:24" s="6" customFormat="1" x14ac:dyDescent="0.25">
      <c r="B19" s="6" t="s">
        <v>42</v>
      </c>
      <c r="H19" s="17">
        <f>H5/H3</f>
        <v>0.13363746142492955</v>
      </c>
      <c r="I19" s="17">
        <f>I5/I3</f>
        <v>9.3083877779977564E-2</v>
      </c>
      <c r="J19" s="17">
        <f>J5/J3</f>
        <v>0.10754723474550022</v>
      </c>
      <c r="L19" s="17">
        <f>L5/L3</f>
        <v>0.11815057389274367</v>
      </c>
      <c r="M19" s="17">
        <f>M5/M3</f>
        <v>0.15079149951208934</v>
      </c>
      <c r="N19" s="17">
        <f>N5/N3</f>
        <v>9.9256174703582445E-2</v>
      </c>
      <c r="W19" s="17">
        <f>W5/W3</f>
        <v>0.11041849922186887</v>
      </c>
      <c r="X19" s="17">
        <f>X5/X3</f>
        <v>0.11825594052288924</v>
      </c>
    </row>
    <row r="20" spans="2:24" s="14" customFormat="1" x14ac:dyDescent="0.25">
      <c r="B20" s="14" t="s">
        <v>43</v>
      </c>
      <c r="H20" s="18">
        <f>H10/H3</f>
        <v>1.8784382128002146E-3</v>
      </c>
      <c r="I20" s="18">
        <f>I10/I3</f>
        <v>-5.5797531841879494E-2</v>
      </c>
      <c r="J20" s="18">
        <f>J10/J3</f>
        <v>1.7517293595347077E-2</v>
      </c>
      <c r="L20" s="18">
        <f>L10/L3</f>
        <v>2.3928409311977174E-2</v>
      </c>
      <c r="M20" s="18">
        <f>M10/M3</f>
        <v>1.5423398026672449E-2</v>
      </c>
      <c r="N20" s="18">
        <f>N10/N3</f>
        <v>1.9517467179503482E-2</v>
      </c>
      <c r="W20" s="18">
        <f>W10/W3</f>
        <v>-5.2185533527302251E-3</v>
      </c>
      <c r="X20" s="18">
        <f>X10/X3</f>
        <v>1.9880470723542338E-2</v>
      </c>
    </row>
    <row r="21" spans="2:24" s="14" customFormat="1" x14ac:dyDescent="0.25">
      <c r="B21" s="14" t="s">
        <v>44</v>
      </c>
      <c r="H21" s="18">
        <f>H15/H3</f>
        <v>-5.3669663222863275E-4</v>
      </c>
      <c r="I21" s="18">
        <f>I15/I3</f>
        <v>-5.2134890780703491E-2</v>
      </c>
      <c r="J21" s="18">
        <f>J15/J3</f>
        <v>1.1683931582751144E-2</v>
      </c>
      <c r="L21" s="18">
        <f>L15/L3</f>
        <v>1.3617793917385384E-2</v>
      </c>
      <c r="M21" s="18">
        <f>M15/M3</f>
        <v>1.3390436951100509E-2</v>
      </c>
      <c r="N21" s="18">
        <f>N15/N3</f>
        <v>1.1761340157029785E-2</v>
      </c>
      <c r="W21" s="18">
        <f>W15/W3</f>
        <v>-7.7559374788551327E-3</v>
      </c>
      <c r="X21" s="18">
        <f>X15/X3</f>
        <v>1.2760742916213126E-2</v>
      </c>
    </row>
    <row r="22" spans="2:24" s="14" customFormat="1" x14ac:dyDescent="0.25">
      <c r="H22" s="18"/>
      <c r="I22" s="18"/>
      <c r="J22" s="18"/>
      <c r="L22" s="18"/>
      <c r="M22" s="18"/>
      <c r="N22" s="18"/>
      <c r="W22" s="18"/>
      <c r="X22" s="18"/>
    </row>
    <row r="23" spans="2:24" s="6" customFormat="1" x14ac:dyDescent="0.25">
      <c r="B23" s="6" t="s">
        <v>41</v>
      </c>
      <c r="I23" s="17"/>
      <c r="J23" s="17"/>
      <c r="L23" s="17">
        <f>L3/H3-1</f>
        <v>0.5518247685495774</v>
      </c>
      <c r="M23" s="17">
        <f>M3/I3-1</f>
        <v>0.21731670296310956</v>
      </c>
      <c r="N23" s="17">
        <f>N3/J3-1</f>
        <v>8.2665106514781206E-2</v>
      </c>
      <c r="W23" s="17"/>
      <c r="X23" s="17">
        <f>X3/W3-1</f>
        <v>0.23547770485147845</v>
      </c>
    </row>
    <row r="24" spans="2:24" s="6" customFormat="1" x14ac:dyDescent="0.25"/>
    <row r="25" spans="2:24" x14ac:dyDescent="0.25">
      <c r="B25" t="s">
        <v>45</v>
      </c>
      <c r="H25" s="16"/>
      <c r="I25" s="16">
        <v>0</v>
      </c>
      <c r="J25" s="16">
        <f>J14/J13</f>
        <v>0.13503184713375796</v>
      </c>
      <c r="L25" s="16">
        <f>L14/L13</f>
        <v>0.26998841251448435</v>
      </c>
      <c r="M25" s="16">
        <f>M14/M13</f>
        <v>0.1875</v>
      </c>
      <c r="N25" s="16">
        <f>N14/N13</f>
        <v>0.27021696252465482</v>
      </c>
      <c r="W25" s="16"/>
      <c r="X25" s="16">
        <f>X14/X13</f>
        <v>0.24989939637826961</v>
      </c>
    </row>
    <row r="1048576" spans="25:25" x14ac:dyDescent="0.25">
      <c r="Y1048576" s="7"/>
    </row>
  </sheetData>
  <hyperlinks>
    <hyperlink ref="A1" location="Main!A1" display="Main" xr:uid="{1A7433E0-F0B1-4F5C-871C-B56D0951702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2024-07-22T13:59:55Z</cp:lastPrinted>
  <dcterms:created xsi:type="dcterms:W3CDTF">2024-07-22T13:58:59Z</dcterms:created>
  <dcterms:modified xsi:type="dcterms:W3CDTF">2024-07-22T15:08:49Z</dcterms:modified>
</cp:coreProperties>
</file>