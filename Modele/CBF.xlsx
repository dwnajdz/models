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BCD8EDEF-309C-4A4B-8723-AD0938E6C381}" xr6:coauthVersionLast="47" xr6:coauthVersionMax="47" xr10:uidLastSave="{00000000-0000-0000-0000-000000000000}"/>
  <bookViews>
    <workbookView xWindow="5733" yWindow="-19494" windowWidth="20350" windowHeight="13829" activeTab="1" xr2:uid="{6BD9ADF1-8BED-4796-96A8-D94814C00ED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 l="1"/>
  <c r="G18" i="2" s="1"/>
  <c r="G20" i="2" s="1"/>
  <c r="G22" i="2" s="1"/>
  <c r="K13" i="2"/>
  <c r="I13" i="2"/>
  <c r="I27" i="2" s="1"/>
  <c r="E25" i="2"/>
  <c r="K7" i="2"/>
  <c r="I24" i="2"/>
  <c r="I16" i="2"/>
  <c r="E24" i="2"/>
  <c r="E16" i="2"/>
  <c r="G24" i="2"/>
  <c r="K24" i="2"/>
  <c r="G16" i="2"/>
  <c r="K16" i="2"/>
  <c r="I11" i="1"/>
  <c r="I12" i="1"/>
  <c r="I10" i="1"/>
  <c r="I8" i="1"/>
  <c r="I9" i="1"/>
  <c r="E27" i="2" l="1"/>
  <c r="E18" i="2"/>
  <c r="E30" i="2" s="1"/>
  <c r="I18" i="2"/>
  <c r="I30" i="2" s="1"/>
  <c r="I25" i="2"/>
  <c r="G25" i="2"/>
  <c r="K27" i="2"/>
  <c r="K25" i="2"/>
  <c r="G27" i="2"/>
  <c r="G28" i="2"/>
  <c r="G30" i="2"/>
  <c r="K18" i="2"/>
  <c r="E20" i="2" l="1"/>
  <c r="E22" i="2" s="1"/>
  <c r="I20" i="2"/>
  <c r="I28" i="2" s="1"/>
  <c r="K20" i="2"/>
  <c r="K30" i="2"/>
  <c r="E28" i="2" l="1"/>
  <c r="I22" i="2"/>
  <c r="K22" i="2"/>
  <c r="K28" i="2"/>
</calcChain>
</file>

<file path=xl/sharedStrings.xml><?xml version="1.0" encoding="utf-8"?>
<sst xmlns="http://schemas.openxmlformats.org/spreadsheetml/2006/main" count="55" uniqueCount="48">
  <si>
    <t>Ticker</t>
  </si>
  <si>
    <t>Price</t>
  </si>
  <si>
    <t>MC</t>
  </si>
  <si>
    <t>Shares</t>
  </si>
  <si>
    <t>Cash</t>
  </si>
  <si>
    <t>Debt</t>
  </si>
  <si>
    <t>Q124</t>
  </si>
  <si>
    <t>EV</t>
  </si>
  <si>
    <t>CBF</t>
  </si>
  <si>
    <t>(mln zl)</t>
  </si>
  <si>
    <t>Q224</t>
  </si>
  <si>
    <t>Q324</t>
  </si>
  <si>
    <t>Q424</t>
  </si>
  <si>
    <t>Q123</t>
  </si>
  <si>
    <t>Q223</t>
  </si>
  <si>
    <t>Q323</t>
  </si>
  <si>
    <t>Q423</t>
  </si>
  <si>
    <t>Przychody</t>
  </si>
  <si>
    <t>Przychody operacyjne</t>
  </si>
  <si>
    <t>Amortyzacja</t>
  </si>
  <si>
    <t>Usługi obce</t>
  </si>
  <si>
    <t>Koszty świadczeń</t>
  </si>
  <si>
    <t>Zużycie materiałów + energ.</t>
  </si>
  <si>
    <t>Podatki</t>
  </si>
  <si>
    <t>Pozostałe koszty</t>
  </si>
  <si>
    <t>Sprzedaż aktywów niefin.</t>
  </si>
  <si>
    <t>Pozostałe odpisy</t>
  </si>
  <si>
    <t>Zysk brutto</t>
  </si>
  <si>
    <t>(tys. PLN)</t>
  </si>
  <si>
    <t>Przychód finansowy</t>
  </si>
  <si>
    <t>Koszt finansowy</t>
  </si>
  <si>
    <t>Kosz fin. Netto</t>
  </si>
  <si>
    <t>Zysk z udziałów</t>
  </si>
  <si>
    <t>Zysk przed podatkiem</t>
  </si>
  <si>
    <t>Podatek</t>
  </si>
  <si>
    <t>Zysk netto</t>
  </si>
  <si>
    <t>Różnice kursów</t>
  </si>
  <si>
    <t>Całkowity dochód</t>
  </si>
  <si>
    <t>Stawka podatku</t>
  </si>
  <si>
    <t>Marża netto</t>
  </si>
  <si>
    <t>Marża brutto</t>
  </si>
  <si>
    <t>Przychody R/R</t>
  </si>
  <si>
    <t>Przychody brutto R/R</t>
  </si>
  <si>
    <t>Q122</t>
  </si>
  <si>
    <t>Q222</t>
  </si>
  <si>
    <t>Q322</t>
  </si>
  <si>
    <t>Q422</t>
  </si>
  <si>
    <t>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</si>
</sst>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9" fontId="0" fillId="0" borderId="0" xfId="0" applyNumberFormat="1"/>
    <xf numFmtId="9" fontId="1" fillId="0" borderId="0" xfId="0" applyNumberFormat="1" applyFont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B04-255B-470A-B90D-3AD59CDC7CC3}">
  <dimension ref="H6:J12"/>
  <sheetViews>
    <sheetView workbookViewId="0">
      <selection activeCell="I12" sqref="I12"/>
    </sheetView>
  </sheetViews>
  <sheetFormatPr defaultRowHeight="14.3" x14ac:dyDescent="0.25"/>
  <cols>
    <col min="9" max="9" width="12.375" bestFit="1" customWidth="1"/>
  </cols>
  <sheetData>
    <row r="6" spans="8:10" x14ac:dyDescent="0.25">
      <c r="H6" t="s">
        <v>0</v>
      </c>
      <c r="I6" t="s">
        <v>8</v>
      </c>
    </row>
    <row r="7" spans="8:10" x14ac:dyDescent="0.25">
      <c r="H7" t="s">
        <v>1</v>
      </c>
      <c r="I7" s="1">
        <v>127</v>
      </c>
    </row>
    <row r="8" spans="8:10" x14ac:dyDescent="0.25">
      <c r="H8" t="s">
        <v>3</v>
      </c>
      <c r="I8" s="1">
        <f>14.18</f>
        <v>14.18</v>
      </c>
      <c r="J8" t="s">
        <v>9</v>
      </c>
    </row>
    <row r="9" spans="8:10" x14ac:dyDescent="0.25">
      <c r="H9" t="s">
        <v>2</v>
      </c>
      <c r="I9" s="2">
        <f>I7*I8</f>
        <v>1800.86</v>
      </c>
    </row>
    <row r="10" spans="8:10" x14ac:dyDescent="0.25">
      <c r="H10" t="s">
        <v>4</v>
      </c>
      <c r="I10" s="2">
        <f>18.445+57</f>
        <v>75.444999999999993</v>
      </c>
      <c r="J10" t="s">
        <v>6</v>
      </c>
    </row>
    <row r="11" spans="8:10" x14ac:dyDescent="0.25">
      <c r="H11" t="s">
        <v>5</v>
      </c>
      <c r="I11" s="2">
        <f>182+24.795+52.631+10.179+54.111+55.501+4.492</f>
        <v>383.709</v>
      </c>
      <c r="J11" t="s">
        <v>6</v>
      </c>
    </row>
    <row r="12" spans="8:10" x14ac:dyDescent="0.25">
      <c r="H12" t="s">
        <v>7</v>
      </c>
      <c r="I12" s="2">
        <f>I9+I11-I10</f>
        <v>2109.1239999999998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6BC6-D90F-4857-9E97-0C80E807515C}">
  <dimension ref="A2:N3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4" sqref="G24"/>
    </sheetView>
  </sheetViews>
  <sheetFormatPr defaultRowHeight="14.3" x14ac:dyDescent="0.25"/>
  <cols>
    <col min="2" max="2" width="24" bestFit="1" customWidth="1"/>
    <col min="3" max="6" width="9.75" customWidth="1"/>
    <col min="7" max="7" width="9.875" bestFit="1" customWidth="1"/>
  </cols>
  <sheetData>
    <row r="2" spans="1:14" x14ac:dyDescent="0.25">
      <c r="B2" s="5" t="s">
        <v>28</v>
      </c>
      <c r="C2" s="8" t="s">
        <v>43</v>
      </c>
      <c r="D2" s="8" t="s">
        <v>44</v>
      </c>
      <c r="E2" s="8" t="s">
        <v>45</v>
      </c>
      <c r="F2" s="8" t="s">
        <v>46</v>
      </c>
      <c r="G2" t="s">
        <v>13</v>
      </c>
      <c r="H2" t="s">
        <v>14</v>
      </c>
      <c r="I2" t="s">
        <v>15</v>
      </c>
      <c r="J2" t="s">
        <v>16</v>
      </c>
      <c r="K2" t="s">
        <v>6</v>
      </c>
      <c r="L2" t="s">
        <v>10</v>
      </c>
      <c r="M2" t="s">
        <v>11</v>
      </c>
      <c r="N2" t="s">
        <v>12</v>
      </c>
    </row>
    <row r="3" spans="1:14" x14ac:dyDescent="0.25">
      <c r="B3" t="s">
        <v>17</v>
      </c>
      <c r="E3" s="2">
        <v>108385</v>
      </c>
      <c r="G3" s="2">
        <v>110531</v>
      </c>
      <c r="I3" s="2">
        <v>120169</v>
      </c>
      <c r="K3" s="2">
        <v>144120</v>
      </c>
    </row>
    <row r="4" spans="1:14" x14ac:dyDescent="0.25">
      <c r="B4" t="s">
        <v>18</v>
      </c>
      <c r="E4" s="2">
        <v>70</v>
      </c>
      <c r="G4" s="2">
        <v>2</v>
      </c>
      <c r="I4" s="2">
        <v>88</v>
      </c>
      <c r="K4" s="2">
        <v>184</v>
      </c>
    </row>
    <row r="5" spans="1:14" x14ac:dyDescent="0.25">
      <c r="A5" s="5" t="s">
        <v>47</v>
      </c>
      <c r="B5" t="s">
        <v>19</v>
      </c>
      <c r="E5" s="2">
        <v>7283</v>
      </c>
      <c r="G5" s="2">
        <v>7518</v>
      </c>
      <c r="I5" s="2">
        <v>8218</v>
      </c>
      <c r="K5" s="2">
        <v>8036</v>
      </c>
    </row>
    <row r="6" spans="1:14" x14ac:dyDescent="0.25">
      <c r="A6" s="5" t="s">
        <v>47</v>
      </c>
      <c r="B6" t="s">
        <v>20</v>
      </c>
      <c r="E6" s="2">
        <v>66795</v>
      </c>
      <c r="G6" s="2">
        <v>64341</v>
      </c>
      <c r="I6" s="2">
        <v>68334</v>
      </c>
      <c r="K6" s="2">
        <v>87068</v>
      </c>
    </row>
    <row r="7" spans="1:14" x14ac:dyDescent="0.25">
      <c r="A7" s="5" t="s">
        <v>47</v>
      </c>
      <c r="B7" t="s">
        <v>21</v>
      </c>
      <c r="E7" s="2">
        <v>12231</v>
      </c>
      <c r="G7" s="2">
        <v>12674</v>
      </c>
      <c r="I7" s="2">
        <v>13491</v>
      </c>
      <c r="K7" s="2">
        <f>16225</f>
        <v>16225</v>
      </c>
    </row>
    <row r="8" spans="1:14" x14ac:dyDescent="0.25">
      <c r="A8" s="5" t="s">
        <v>47</v>
      </c>
      <c r="B8" t="s">
        <v>22</v>
      </c>
      <c r="E8" s="2">
        <v>1318</v>
      </c>
      <c r="G8" s="2">
        <v>1606</v>
      </c>
      <c r="I8" s="2">
        <v>1556</v>
      </c>
      <c r="K8" s="2">
        <v>1467</v>
      </c>
    </row>
    <row r="9" spans="1:14" x14ac:dyDescent="0.25">
      <c r="A9" s="5" t="s">
        <v>47</v>
      </c>
      <c r="B9" t="s">
        <v>23</v>
      </c>
      <c r="E9" s="2">
        <v>275</v>
      </c>
      <c r="G9" s="2">
        <v>151</v>
      </c>
      <c r="I9" s="2">
        <v>157</v>
      </c>
      <c r="K9" s="2">
        <v>235</v>
      </c>
    </row>
    <row r="10" spans="1:14" x14ac:dyDescent="0.25">
      <c r="A10" s="5" t="s">
        <v>47</v>
      </c>
      <c r="B10" t="s">
        <v>24</v>
      </c>
      <c r="E10" s="2">
        <v>225</v>
      </c>
      <c r="G10" s="2">
        <v>-62</v>
      </c>
      <c r="I10" s="2">
        <v>186</v>
      </c>
      <c r="K10" s="2">
        <v>147</v>
      </c>
    </row>
    <row r="11" spans="1:14" x14ac:dyDescent="0.25">
      <c r="B11" t="s">
        <v>25</v>
      </c>
      <c r="E11" s="2">
        <v>-39</v>
      </c>
      <c r="G11" s="2">
        <v>32</v>
      </c>
      <c r="I11" s="2">
        <v>1</v>
      </c>
      <c r="K11" s="2">
        <v>2</v>
      </c>
    </row>
    <row r="12" spans="1:14" x14ac:dyDescent="0.25">
      <c r="B12" t="s">
        <v>26</v>
      </c>
      <c r="E12" s="2">
        <v>-165</v>
      </c>
      <c r="G12" s="2">
        <v>-364</v>
      </c>
      <c r="I12" s="2">
        <v>-1180</v>
      </c>
      <c r="K12" s="2">
        <v>-339</v>
      </c>
    </row>
    <row r="13" spans="1:14" s="3" customFormat="1" x14ac:dyDescent="0.25">
      <c r="B13" s="3" t="s">
        <v>27</v>
      </c>
      <c r="E13" s="4">
        <f>E3+E4-SUM(E5:E10)+E11+E12</f>
        <v>20124</v>
      </c>
      <c r="G13" s="4">
        <f>G3+G4-SUM(G5:G10)+G11+G12</f>
        <v>23973</v>
      </c>
      <c r="I13" s="4">
        <f>I3+I4-SUM(I5:I10)+I11+I12</f>
        <v>27136</v>
      </c>
      <c r="K13" s="4">
        <f>K3+K4-SUM(K5:K10)+K11+K12</f>
        <v>30789</v>
      </c>
    </row>
    <row r="14" spans="1:14" x14ac:dyDescent="0.25">
      <c r="B14" t="s">
        <v>29</v>
      </c>
      <c r="E14" s="2">
        <v>69</v>
      </c>
      <c r="G14" s="2">
        <v>1390</v>
      </c>
      <c r="I14" s="2">
        <v>-3903</v>
      </c>
      <c r="K14" s="2">
        <v>1497</v>
      </c>
    </row>
    <row r="15" spans="1:14" x14ac:dyDescent="0.25">
      <c r="B15" t="s">
        <v>30</v>
      </c>
      <c r="E15" s="2">
        <v>12512</v>
      </c>
      <c r="G15" s="2">
        <v>8019</v>
      </c>
      <c r="I15" s="2">
        <v>7560</v>
      </c>
      <c r="K15" s="2">
        <v>5777</v>
      </c>
    </row>
    <row r="16" spans="1:14" s="3" customFormat="1" x14ac:dyDescent="0.25">
      <c r="B16" s="3" t="s">
        <v>31</v>
      </c>
      <c r="E16" s="4">
        <f>E14-E15</f>
        <v>-12443</v>
      </c>
      <c r="G16" s="4">
        <f>G14-G15</f>
        <v>-6629</v>
      </c>
      <c r="I16" s="4">
        <f>I14-I15</f>
        <v>-11463</v>
      </c>
      <c r="K16" s="4">
        <f>K14-K15</f>
        <v>-4280</v>
      </c>
    </row>
    <row r="17" spans="2:11" x14ac:dyDescent="0.25">
      <c r="B17" t="s">
        <v>32</v>
      </c>
      <c r="E17" s="2">
        <v>4</v>
      </c>
      <c r="G17" s="2">
        <v>463</v>
      </c>
      <c r="I17" s="2">
        <v>965</v>
      </c>
      <c r="K17" s="2">
        <v>1001</v>
      </c>
    </row>
    <row r="18" spans="2:11" s="3" customFormat="1" x14ac:dyDescent="0.25">
      <c r="B18" s="3" t="s">
        <v>33</v>
      </c>
      <c r="E18" s="4">
        <f>E13+E16+E17</f>
        <v>7685</v>
      </c>
      <c r="G18" s="4">
        <f>G13+G16+G17</f>
        <v>17807</v>
      </c>
      <c r="I18" s="4">
        <f>I13+I16+I17</f>
        <v>16638</v>
      </c>
      <c r="K18" s="4">
        <f>K13+K16+K17</f>
        <v>27510</v>
      </c>
    </row>
    <row r="19" spans="2:11" x14ac:dyDescent="0.25">
      <c r="B19" t="s">
        <v>34</v>
      </c>
      <c r="E19" s="2">
        <v>2811</v>
      </c>
      <c r="G19" s="2">
        <v>3689</v>
      </c>
      <c r="I19" s="2">
        <v>76</v>
      </c>
      <c r="K19" s="2">
        <v>3333</v>
      </c>
    </row>
    <row r="20" spans="2:11" s="3" customFormat="1" x14ac:dyDescent="0.25">
      <c r="B20" s="3" t="s">
        <v>35</v>
      </c>
      <c r="E20" s="4">
        <f>E18-E19</f>
        <v>4874</v>
      </c>
      <c r="G20" s="4">
        <f>G18-G19</f>
        <v>14118</v>
      </c>
      <c r="I20" s="4">
        <f>I18-I19</f>
        <v>16562</v>
      </c>
      <c r="K20" s="4">
        <f>K18-K19</f>
        <v>24177</v>
      </c>
    </row>
    <row r="21" spans="2:11" x14ac:dyDescent="0.25">
      <c r="B21" t="s">
        <v>36</v>
      </c>
      <c r="E21" s="2">
        <v>-383</v>
      </c>
      <c r="F21" s="2"/>
      <c r="G21" s="2">
        <v>-6819</v>
      </c>
      <c r="H21" s="2"/>
      <c r="I21" s="2">
        <v>19615</v>
      </c>
      <c r="J21" s="2"/>
      <c r="K21" s="2">
        <v>2986</v>
      </c>
    </row>
    <row r="22" spans="2:11" s="3" customFormat="1" x14ac:dyDescent="0.25">
      <c r="B22" s="3" t="s">
        <v>37</v>
      </c>
      <c r="E22" s="4">
        <f>E20+E21</f>
        <v>4491</v>
      </c>
      <c r="G22" s="4">
        <f>G20+G21</f>
        <v>7299</v>
      </c>
      <c r="I22" s="4">
        <f>I20+I21</f>
        <v>36177</v>
      </c>
      <c r="K22" s="4">
        <f>K20+K21</f>
        <v>27163</v>
      </c>
    </row>
    <row r="23" spans="2:11" s="3" customFormat="1" x14ac:dyDescent="0.25">
      <c r="E23" s="4"/>
      <c r="G23" s="4"/>
      <c r="I23" s="4"/>
      <c r="K23" s="4"/>
    </row>
    <row r="24" spans="2:11" s="8" customFormat="1" x14ac:dyDescent="0.25">
      <c r="B24" s="8" t="s">
        <v>41</v>
      </c>
      <c r="E24" s="9" t="e">
        <f>E3/A3-1</f>
        <v>#DIV/0!</v>
      </c>
      <c r="G24" s="9" t="e">
        <f>G3/C3-1</f>
        <v>#DIV/0!</v>
      </c>
      <c r="I24" s="9">
        <f>I3/E3-1</f>
        <v>0.10872353185403894</v>
      </c>
      <c r="K24" s="9">
        <f>K3/G3-1</f>
        <v>0.30388759714469238</v>
      </c>
    </row>
    <row r="25" spans="2:11" s="8" customFormat="1" x14ac:dyDescent="0.25">
      <c r="B25" s="8" t="s">
        <v>42</v>
      </c>
      <c r="E25" s="9" t="e">
        <f>E13/A13-1</f>
        <v>#DIV/0!</v>
      </c>
      <c r="G25" s="9" t="e">
        <f>G13/C13-1</f>
        <v>#DIV/0!</v>
      </c>
      <c r="I25" s="9">
        <f>I13/E13-1</f>
        <v>0.34843967402106935</v>
      </c>
      <c r="K25" s="9">
        <f>K13/G13-1</f>
        <v>0.28431985984232266</v>
      </c>
    </row>
    <row r="27" spans="2:11" s="3" customFormat="1" x14ac:dyDescent="0.25">
      <c r="B27" s="3" t="s">
        <v>40</v>
      </c>
      <c r="E27" s="7">
        <f>E13/E3</f>
        <v>0.18567144900124555</v>
      </c>
      <c r="G27" s="7">
        <f>G13/G3</f>
        <v>0.21688937945010903</v>
      </c>
      <c r="I27" s="7">
        <f>I13/I3</f>
        <v>0.22581531010493555</v>
      </c>
      <c r="K27" s="7">
        <f>K13/K3</f>
        <v>0.21363447127393839</v>
      </c>
    </row>
    <row r="28" spans="2:11" x14ac:dyDescent="0.25">
      <c r="B28" t="s">
        <v>39</v>
      </c>
      <c r="E28" s="6">
        <f>E20/E18</f>
        <v>0.63422251138581653</v>
      </c>
      <c r="G28" s="6">
        <f>G20/G18</f>
        <v>0.79283427865446177</v>
      </c>
      <c r="I28" s="6">
        <f>I20/I18</f>
        <v>0.99543214328645269</v>
      </c>
      <c r="K28" s="6">
        <f>K20/K18</f>
        <v>0.87884405670665211</v>
      </c>
    </row>
    <row r="30" spans="2:11" x14ac:dyDescent="0.25">
      <c r="B30" t="s">
        <v>38</v>
      </c>
      <c r="E30" s="6">
        <f>E19/E18</f>
        <v>0.36577748861418347</v>
      </c>
      <c r="G30" s="6">
        <f>G19/G18</f>
        <v>0.20716572134553826</v>
      </c>
      <c r="I30" s="6">
        <f>I19/I18</f>
        <v>4.5678567135473015E-3</v>
      </c>
      <c r="K30" s="6">
        <f>K19/K18</f>
        <v>0.12115594329334788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Najdzionek</dc:creator>
  <cp:lastModifiedBy>Dawid Najdzionek</cp:lastModifiedBy>
  <dcterms:created xsi:type="dcterms:W3CDTF">2024-09-07T18:12:21Z</dcterms:created>
  <dcterms:modified xsi:type="dcterms:W3CDTF">2024-09-07T19:10:14Z</dcterms:modified>
</cp:coreProperties>
</file>