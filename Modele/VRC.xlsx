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E22BC44A-3494-443C-AD6F-E1FDD3F0205A}" xr6:coauthVersionLast="47" xr6:coauthVersionMax="47" xr10:uidLastSave="{00000000-0000-0000-0000-000000000000}"/>
  <bookViews>
    <workbookView xWindow="-109" yWindow="-109" windowWidth="34995" windowHeight="19060" activeTab="1" xr2:uid="{1D4CE57D-223E-430C-9223-90A2201113F9}"/>
  </bookViews>
  <sheets>
    <sheet name="Main" sheetId="2" r:id="rId1"/>
    <sheet name="PL_Model" sheetId="3" r:id="rId2"/>
    <sheet name="Mode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3" l="1"/>
  <c r="R5" i="3"/>
  <c r="X10" i="3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P12" i="3"/>
  <c r="P31" i="3"/>
  <c r="P5" i="3"/>
  <c r="P30" i="3"/>
  <c r="P26" i="3"/>
  <c r="R43" i="3"/>
  <c r="R12" i="3"/>
  <c r="Q12" i="3"/>
  <c r="R11" i="3"/>
  <c r="Q11" i="3"/>
  <c r="R16" i="3"/>
  <c r="Q16" i="3"/>
  <c r="R15" i="3"/>
  <c r="Q15" i="3"/>
  <c r="R14" i="3"/>
  <c r="Q14" i="3"/>
  <c r="R9" i="3"/>
  <c r="Q9" i="3"/>
  <c r="R3" i="3"/>
  <c r="M31" i="3"/>
  <c r="M30" i="3"/>
  <c r="N31" i="3"/>
  <c r="N30" i="3"/>
  <c r="O31" i="3"/>
  <c r="O30" i="3"/>
  <c r="R7" i="3"/>
  <c r="R31" i="3" s="1"/>
  <c r="Q7" i="3"/>
  <c r="Q31" i="3" s="1"/>
  <c r="R6" i="3"/>
  <c r="R30" i="3" s="1"/>
  <c r="Q6" i="3"/>
  <c r="Q30" i="3" s="1"/>
  <c r="R41" i="3"/>
  <c r="X9" i="3" l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P8" i="3"/>
  <c r="P13" i="3" s="1"/>
  <c r="P17" i="3" s="1"/>
  <c r="X16" i="3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X11" i="3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X12" i="3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Q5" i="3"/>
  <c r="Q4" i="3" s="1"/>
  <c r="J26" i="3"/>
  <c r="C5" i="3"/>
  <c r="C22" i="3" s="1"/>
  <c r="D5" i="3"/>
  <c r="D22" i="3" s="1"/>
  <c r="E5" i="3"/>
  <c r="E22" i="3" s="1"/>
  <c r="T5" i="3"/>
  <c r="T8" i="3" s="1"/>
  <c r="U18" i="3"/>
  <c r="U16" i="3"/>
  <c r="U15" i="3"/>
  <c r="U14" i="3"/>
  <c r="U12" i="3"/>
  <c r="U11" i="3"/>
  <c r="U10" i="3"/>
  <c r="U9" i="3"/>
  <c r="U7" i="3"/>
  <c r="U6" i="3"/>
  <c r="U4" i="3"/>
  <c r="U3" i="3"/>
  <c r="U26" i="3" s="1"/>
  <c r="F5" i="3"/>
  <c r="F22" i="3" s="1"/>
  <c r="I26" i="3"/>
  <c r="H26" i="3"/>
  <c r="G26" i="3"/>
  <c r="V16" i="3"/>
  <c r="W16" i="3"/>
  <c r="G5" i="3"/>
  <c r="G22" i="3" s="1"/>
  <c r="V18" i="3"/>
  <c r="V15" i="3"/>
  <c r="V14" i="3"/>
  <c r="V12" i="3"/>
  <c r="V11" i="3"/>
  <c r="V10" i="3"/>
  <c r="V9" i="3"/>
  <c r="V7" i="3"/>
  <c r="V6" i="3"/>
  <c r="V4" i="3"/>
  <c r="V3" i="3"/>
  <c r="W18" i="3"/>
  <c r="W15" i="3"/>
  <c r="W14" i="3"/>
  <c r="W12" i="3"/>
  <c r="W11" i="3"/>
  <c r="W10" i="3"/>
  <c r="W9" i="3"/>
  <c r="W7" i="3"/>
  <c r="W6" i="3"/>
  <c r="W4" i="3"/>
  <c r="W3" i="3"/>
  <c r="K26" i="3"/>
  <c r="N26" i="3"/>
  <c r="J5" i="3"/>
  <c r="J22" i="3" s="1"/>
  <c r="N5" i="3"/>
  <c r="N22" i="3" s="1"/>
  <c r="W2" i="3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I5" i="3"/>
  <c r="I22" i="3" s="1"/>
  <c r="M26" i="3"/>
  <c r="M5" i="3"/>
  <c r="M22" i="3" s="1"/>
  <c r="H5" i="3"/>
  <c r="H22" i="3" s="1"/>
  <c r="L26" i="3"/>
  <c r="L5" i="3"/>
  <c r="L8" i="3" s="1"/>
  <c r="K5" i="3"/>
  <c r="K8" i="3" s="1"/>
  <c r="K13" i="3" s="1"/>
  <c r="K17" i="3" s="1"/>
  <c r="K24" i="3" s="1"/>
  <c r="O26" i="3"/>
  <c r="O5" i="3"/>
  <c r="O8" i="3" s="1"/>
  <c r="O13" i="3" s="1"/>
  <c r="G5" i="1"/>
  <c r="G19" i="1" s="1"/>
  <c r="G11" i="1"/>
  <c r="G10" i="1"/>
  <c r="K17" i="1"/>
  <c r="G8" i="1"/>
  <c r="K11" i="1"/>
  <c r="K10" i="1"/>
  <c r="K32" i="1"/>
  <c r="K37" i="1"/>
  <c r="Q7" i="2"/>
  <c r="Q8" i="2"/>
  <c r="P27" i="3" l="1"/>
  <c r="P23" i="3"/>
  <c r="W30" i="3"/>
  <c r="W31" i="3"/>
  <c r="X3" i="3"/>
  <c r="Y3" i="3" s="1"/>
  <c r="Z3" i="3" s="1"/>
  <c r="X14" i="3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Q26" i="3"/>
  <c r="R26" i="3"/>
  <c r="C8" i="3"/>
  <c r="C23" i="3" s="1"/>
  <c r="D8" i="3"/>
  <c r="E8" i="3"/>
  <c r="E23" i="3" s="1"/>
  <c r="O27" i="3"/>
  <c r="V26" i="3"/>
  <c r="T22" i="3"/>
  <c r="T13" i="3"/>
  <c r="U5" i="3"/>
  <c r="U22" i="3" s="1"/>
  <c r="F8" i="3"/>
  <c r="W26" i="3"/>
  <c r="W5" i="3"/>
  <c r="W22" i="3" s="1"/>
  <c r="O17" i="3"/>
  <c r="G8" i="3"/>
  <c r="V5" i="3"/>
  <c r="J8" i="3"/>
  <c r="N8" i="3"/>
  <c r="N13" i="3" s="1"/>
  <c r="K22" i="3"/>
  <c r="K23" i="3"/>
  <c r="O22" i="3"/>
  <c r="I8" i="3"/>
  <c r="I23" i="3" s="1"/>
  <c r="O23" i="3"/>
  <c r="M8" i="3"/>
  <c r="H8" i="3"/>
  <c r="L23" i="3"/>
  <c r="L13" i="3"/>
  <c r="L22" i="3"/>
  <c r="K19" i="3"/>
  <c r="K33" i="3"/>
  <c r="G9" i="1"/>
  <c r="G20" i="1" s="1"/>
  <c r="P19" i="3" l="1"/>
  <c r="P24" i="3"/>
  <c r="P28" i="3"/>
  <c r="AA3" i="3"/>
  <c r="Z5" i="3"/>
  <c r="Z26" i="3"/>
  <c r="Y26" i="3"/>
  <c r="Y5" i="3"/>
  <c r="X26" i="3"/>
  <c r="X7" i="3"/>
  <c r="Y7" i="3" s="1"/>
  <c r="Z7" i="3" s="1"/>
  <c r="X6" i="3"/>
  <c r="Y6" i="3" s="1"/>
  <c r="Z6" i="3" s="1"/>
  <c r="X15" i="3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Q8" i="3"/>
  <c r="Q13" i="3" s="1"/>
  <c r="Q17" i="3" s="1"/>
  <c r="C13" i="3"/>
  <c r="C17" i="3" s="1"/>
  <c r="C33" i="3" s="1"/>
  <c r="D23" i="3"/>
  <c r="D13" i="3"/>
  <c r="D17" i="3" s="1"/>
  <c r="E13" i="3"/>
  <c r="E17" i="3" s="1"/>
  <c r="E33" i="3" s="1"/>
  <c r="L17" i="3"/>
  <c r="N17" i="3"/>
  <c r="O33" i="3"/>
  <c r="O28" i="3"/>
  <c r="T23" i="3"/>
  <c r="T17" i="3"/>
  <c r="U8" i="3"/>
  <c r="U13" i="3" s="1"/>
  <c r="F23" i="3"/>
  <c r="F13" i="3"/>
  <c r="F17" i="3" s="1"/>
  <c r="W8" i="3"/>
  <c r="W13" i="3" s="1"/>
  <c r="W17" i="3" s="1"/>
  <c r="O24" i="3"/>
  <c r="O19" i="3"/>
  <c r="G23" i="3"/>
  <c r="G13" i="3"/>
  <c r="V8" i="3"/>
  <c r="V13" i="3" s="1"/>
  <c r="V17" i="3" s="1"/>
  <c r="V22" i="3"/>
  <c r="J23" i="3"/>
  <c r="J13" i="3"/>
  <c r="N27" i="3" s="1"/>
  <c r="N23" i="3"/>
  <c r="I13" i="3"/>
  <c r="I17" i="3" s="1"/>
  <c r="M23" i="3"/>
  <c r="M13" i="3"/>
  <c r="M17" i="3" s="1"/>
  <c r="H23" i="3"/>
  <c r="H13" i="3"/>
  <c r="L24" i="3"/>
  <c r="G12" i="1"/>
  <c r="G22" i="1" s="1"/>
  <c r="L33" i="3" l="1"/>
  <c r="AA6" i="3"/>
  <c r="Z30" i="3"/>
  <c r="Z8" i="3"/>
  <c r="Z13" i="3" s="1"/>
  <c r="Z4" i="3"/>
  <c r="AA7" i="3"/>
  <c r="Z31" i="3"/>
  <c r="AB3" i="3"/>
  <c r="AA26" i="3"/>
  <c r="AA5" i="3"/>
  <c r="Y30" i="3"/>
  <c r="X30" i="3"/>
  <c r="Y31" i="3"/>
  <c r="X31" i="3"/>
  <c r="Y4" i="3"/>
  <c r="Q23" i="3"/>
  <c r="C24" i="3"/>
  <c r="C19" i="3"/>
  <c r="Q27" i="3"/>
  <c r="Q18" i="3"/>
  <c r="Q24" i="3"/>
  <c r="Q28" i="3"/>
  <c r="D33" i="3"/>
  <c r="D19" i="3"/>
  <c r="D24" i="3"/>
  <c r="E24" i="3"/>
  <c r="E19" i="3"/>
  <c r="L19" i="3"/>
  <c r="G17" i="3"/>
  <c r="G33" i="3" s="1"/>
  <c r="G27" i="3"/>
  <c r="K27" i="3"/>
  <c r="H17" i="3"/>
  <c r="H28" i="3" s="1"/>
  <c r="H27" i="3"/>
  <c r="L27" i="3"/>
  <c r="J17" i="3"/>
  <c r="J28" i="3" s="1"/>
  <c r="J27" i="3"/>
  <c r="I33" i="3"/>
  <c r="M27" i="3"/>
  <c r="I27" i="3"/>
  <c r="U23" i="3"/>
  <c r="U27" i="3"/>
  <c r="V27" i="3"/>
  <c r="T19" i="3"/>
  <c r="T24" i="3"/>
  <c r="T33" i="3"/>
  <c r="U17" i="3"/>
  <c r="V28" i="3" s="1"/>
  <c r="F19" i="3"/>
  <c r="F24" i="3"/>
  <c r="F33" i="3"/>
  <c r="W23" i="3"/>
  <c r="W28" i="3"/>
  <c r="W27" i="3"/>
  <c r="W33" i="3"/>
  <c r="W24" i="3"/>
  <c r="W19" i="3"/>
  <c r="V23" i="3"/>
  <c r="V19" i="3"/>
  <c r="N33" i="3"/>
  <c r="N19" i="3"/>
  <c r="N24" i="3"/>
  <c r="M33" i="3"/>
  <c r="M19" i="3"/>
  <c r="M24" i="3"/>
  <c r="G14" i="1"/>
  <c r="G21" i="1" s="1"/>
  <c r="AB26" i="3" l="1"/>
  <c r="AB5" i="3"/>
  <c r="AB4" i="3" s="1"/>
  <c r="AC3" i="3"/>
  <c r="Z23" i="3"/>
  <c r="Z17" i="3"/>
  <c r="AA8" i="3"/>
  <c r="AA13" i="3" s="1"/>
  <c r="AA4" i="3"/>
  <c r="AA31" i="3"/>
  <c r="AB7" i="3"/>
  <c r="AA30" i="3"/>
  <c r="AB6" i="3"/>
  <c r="Y8" i="3"/>
  <c r="Y13" i="3" s="1"/>
  <c r="Z27" i="3" s="1"/>
  <c r="Q19" i="3"/>
  <c r="G24" i="3"/>
  <c r="G19" i="3"/>
  <c r="H24" i="3"/>
  <c r="H19" i="3"/>
  <c r="J19" i="3"/>
  <c r="H33" i="3"/>
  <c r="L28" i="3"/>
  <c r="N28" i="3"/>
  <c r="J24" i="3"/>
  <c r="J33" i="3"/>
  <c r="G28" i="3"/>
  <c r="K28" i="3"/>
  <c r="I19" i="3"/>
  <c r="I24" i="3"/>
  <c r="M28" i="3"/>
  <c r="U19" i="3"/>
  <c r="U28" i="3"/>
  <c r="I28" i="3"/>
  <c r="U33" i="3"/>
  <c r="U24" i="3"/>
  <c r="V24" i="3"/>
  <c r="V33" i="3"/>
  <c r="K8" i="1"/>
  <c r="AC26" i="3" l="1"/>
  <c r="AC5" i="3"/>
  <c r="AC4" i="3" s="1"/>
  <c r="AD3" i="3"/>
  <c r="AC7" i="3"/>
  <c r="AB31" i="3"/>
  <c r="Z24" i="3"/>
  <c r="Z18" i="3"/>
  <c r="Z19" i="3" s="1"/>
  <c r="AB8" i="3"/>
  <c r="AB13" i="3" s="1"/>
  <c r="AB27" i="3" s="1"/>
  <c r="AC6" i="3"/>
  <c r="AB30" i="3"/>
  <c r="AA27" i="3"/>
  <c r="AA17" i="3"/>
  <c r="AA23" i="3"/>
  <c r="Y17" i="3"/>
  <c r="Z28" i="3" s="1"/>
  <c r="Y23" i="3"/>
  <c r="K5" i="1"/>
  <c r="Q6" i="2"/>
  <c r="Q9" i="2" s="1"/>
  <c r="AA18" i="3" l="1"/>
  <c r="AA19" i="3" s="1"/>
  <c r="AA28" i="3"/>
  <c r="AA24" i="3"/>
  <c r="AC30" i="3"/>
  <c r="AD6" i="3"/>
  <c r="AC8" i="3"/>
  <c r="AC13" i="3" s="1"/>
  <c r="AD26" i="3"/>
  <c r="AE3" i="3"/>
  <c r="AD5" i="3"/>
  <c r="AB17" i="3"/>
  <c r="AB23" i="3"/>
  <c r="AD7" i="3"/>
  <c r="AC31" i="3"/>
  <c r="Y24" i="3"/>
  <c r="Y18" i="3"/>
  <c r="Y19" i="3" s="1"/>
  <c r="K9" i="1"/>
  <c r="K19" i="1"/>
  <c r="AB18" i="3" l="1"/>
  <c r="AB19" i="3" s="1"/>
  <c r="AB24" i="3"/>
  <c r="AC17" i="3"/>
  <c r="AC23" i="3"/>
  <c r="AC27" i="3"/>
  <c r="AD4" i="3"/>
  <c r="AD8" i="3"/>
  <c r="AD13" i="3" s="1"/>
  <c r="AE6" i="3"/>
  <c r="AD30" i="3"/>
  <c r="AE7" i="3"/>
  <c r="AD31" i="3"/>
  <c r="AE26" i="3"/>
  <c r="AE5" i="3"/>
  <c r="AF3" i="3"/>
  <c r="AB28" i="3"/>
  <c r="K12" i="1"/>
  <c r="K14" i="1" s="1"/>
  <c r="K21" i="1" s="1"/>
  <c r="K20" i="1"/>
  <c r="K22" i="1"/>
  <c r="AF6" i="3" l="1"/>
  <c r="AE30" i="3"/>
  <c r="AD17" i="3"/>
  <c r="AD23" i="3"/>
  <c r="AD27" i="3"/>
  <c r="AC18" i="3"/>
  <c r="AC19" i="3" s="1"/>
  <c r="AC24" i="3"/>
  <c r="AC28" i="3"/>
  <c r="AG3" i="3"/>
  <c r="AF26" i="3"/>
  <c r="AF5" i="3"/>
  <c r="AF4" i="3" s="1"/>
  <c r="AF7" i="3"/>
  <c r="AE31" i="3"/>
  <c r="AE4" i="3"/>
  <c r="AE8" i="3"/>
  <c r="AE13" i="3" s="1"/>
  <c r="AF8" i="3" l="1"/>
  <c r="AF13" i="3" s="1"/>
  <c r="AF27" i="3" s="1"/>
  <c r="AE17" i="3"/>
  <c r="AE27" i="3"/>
  <c r="AE23" i="3"/>
  <c r="AD24" i="3"/>
  <c r="AD28" i="3"/>
  <c r="AD18" i="3"/>
  <c r="AD19" i="3" s="1"/>
  <c r="AF31" i="3"/>
  <c r="AG7" i="3"/>
  <c r="AH3" i="3"/>
  <c r="AG5" i="3"/>
  <c r="AG4" i="3" s="1"/>
  <c r="AG26" i="3"/>
  <c r="AF30" i="3"/>
  <c r="AG6" i="3"/>
  <c r="AF23" i="3" l="1"/>
  <c r="AF17" i="3"/>
  <c r="AF18" i="3" s="1"/>
  <c r="AF19" i="3" s="1"/>
  <c r="AI3" i="3"/>
  <c r="AH5" i="3"/>
  <c r="AH4" i="3" s="1"/>
  <c r="AH26" i="3"/>
  <c r="AE18" i="3"/>
  <c r="AE19" i="3" s="1"/>
  <c r="AE28" i="3"/>
  <c r="AE24" i="3"/>
  <c r="AG31" i="3"/>
  <c r="AH7" i="3"/>
  <c r="AG30" i="3"/>
  <c r="AH6" i="3"/>
  <c r="AG8" i="3"/>
  <c r="AG13" i="3" s="1"/>
  <c r="AF24" i="3" l="1"/>
  <c r="AF28" i="3"/>
  <c r="AG27" i="3"/>
  <c r="AG17" i="3"/>
  <c r="AG23" i="3"/>
  <c r="AI6" i="3"/>
  <c r="AH30" i="3"/>
  <c r="AH8" i="3"/>
  <c r="AH13" i="3" s="1"/>
  <c r="AH31" i="3"/>
  <c r="AI7" i="3"/>
  <c r="AI26" i="3"/>
  <c r="AJ3" i="3"/>
  <c r="AI5" i="3"/>
  <c r="AI4" i="3" s="1"/>
  <c r="AI31" i="3" l="1"/>
  <c r="AJ7" i="3"/>
  <c r="AI30" i="3"/>
  <c r="AJ6" i="3"/>
  <c r="AI8" i="3"/>
  <c r="AI13" i="3" s="1"/>
  <c r="AJ26" i="3"/>
  <c r="AK3" i="3"/>
  <c r="AJ5" i="3"/>
  <c r="AH17" i="3"/>
  <c r="AH23" i="3"/>
  <c r="AH27" i="3"/>
  <c r="AG24" i="3"/>
  <c r="AG28" i="3"/>
  <c r="AG18" i="3"/>
  <c r="AG19" i="3" s="1"/>
  <c r="AJ8" i="3" l="1"/>
  <c r="AJ13" i="3" s="1"/>
  <c r="AJ27" i="3" s="1"/>
  <c r="AK6" i="3"/>
  <c r="AJ30" i="3"/>
  <c r="AK26" i="3"/>
  <c r="AL3" i="3"/>
  <c r="AK5" i="3"/>
  <c r="AH18" i="3"/>
  <c r="AH19" i="3" s="1"/>
  <c r="AH24" i="3"/>
  <c r="AH28" i="3"/>
  <c r="AJ31" i="3"/>
  <c r="AK7" i="3"/>
  <c r="AJ4" i="3"/>
  <c r="AI27" i="3"/>
  <c r="AI17" i="3"/>
  <c r="AI23" i="3"/>
  <c r="AJ17" i="3" l="1"/>
  <c r="AJ18" i="3" s="1"/>
  <c r="AJ19" i="3" s="1"/>
  <c r="AJ23" i="3"/>
  <c r="AK8" i="3"/>
  <c r="AK13" i="3" s="1"/>
  <c r="AK27" i="3" s="1"/>
  <c r="AK4" i="3"/>
  <c r="AI24" i="3"/>
  <c r="AI28" i="3"/>
  <c r="AI18" i="3"/>
  <c r="AI19" i="3" s="1"/>
  <c r="AK30" i="3"/>
  <c r="AL6" i="3"/>
  <c r="AL5" i="3"/>
  <c r="AM3" i="3"/>
  <c r="AL26" i="3"/>
  <c r="AK31" i="3"/>
  <c r="AL7" i="3"/>
  <c r="AJ28" i="3" l="1"/>
  <c r="AJ24" i="3"/>
  <c r="AK23" i="3"/>
  <c r="AK17" i="3"/>
  <c r="AK24" i="3" s="1"/>
  <c r="AM6" i="3"/>
  <c r="AL30" i="3"/>
  <c r="AM5" i="3"/>
  <c r="AM26" i="3"/>
  <c r="AN3" i="3"/>
  <c r="AL8" i="3"/>
  <c r="AL13" i="3" s="1"/>
  <c r="AL31" i="3"/>
  <c r="AM7" i="3"/>
  <c r="AL4" i="3"/>
  <c r="AK18" i="3" l="1"/>
  <c r="AK19" i="3" s="1"/>
  <c r="AK28" i="3"/>
  <c r="AM31" i="3"/>
  <c r="AN7" i="3"/>
  <c r="AN31" i="3" s="1"/>
  <c r="AN5" i="3"/>
  <c r="AN26" i="3"/>
  <c r="AL17" i="3"/>
  <c r="AL23" i="3"/>
  <c r="AL27" i="3"/>
  <c r="AM8" i="3"/>
  <c r="AM13" i="3" s="1"/>
  <c r="AM4" i="3"/>
  <c r="AM30" i="3"/>
  <c r="AN6" i="3"/>
  <c r="AN30" i="3" s="1"/>
  <c r="AN8" i="3" l="1"/>
  <c r="AN13" i="3" s="1"/>
  <c r="AL18" i="3"/>
  <c r="AL19" i="3" s="1"/>
  <c r="AL24" i="3"/>
  <c r="AL28" i="3"/>
  <c r="AM27" i="3"/>
  <c r="AM17" i="3"/>
  <c r="AM23" i="3"/>
  <c r="AN4" i="3"/>
  <c r="AM28" i="3" l="1"/>
  <c r="AM18" i="3"/>
  <c r="AM19" i="3" s="1"/>
  <c r="AM24" i="3"/>
  <c r="AN27" i="3"/>
  <c r="AN23" i="3"/>
  <c r="AN17" i="3"/>
  <c r="AN18" i="3" l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EG19" i="3" s="1"/>
  <c r="EH19" i="3" s="1"/>
  <c r="EI19" i="3" s="1"/>
  <c r="EJ19" i="3" s="1"/>
  <c r="EK19" i="3" s="1"/>
  <c r="EL19" i="3" s="1"/>
  <c r="EM19" i="3" s="1"/>
  <c r="EN19" i="3" s="1"/>
  <c r="EO19" i="3" s="1"/>
  <c r="EP19" i="3" s="1"/>
  <c r="EQ19" i="3" s="1"/>
  <c r="ER19" i="3" s="1"/>
  <c r="ES19" i="3" s="1"/>
  <c r="ET19" i="3" s="1"/>
  <c r="EU19" i="3" s="1"/>
  <c r="EV19" i="3" s="1"/>
  <c r="EW19" i="3" s="1"/>
  <c r="EX19" i="3" s="1"/>
  <c r="EY19" i="3" s="1"/>
  <c r="EZ19" i="3" s="1"/>
  <c r="FA19" i="3" s="1"/>
  <c r="FB19" i="3" s="1"/>
  <c r="FC19" i="3" s="1"/>
  <c r="FD19" i="3" s="1"/>
  <c r="FE19" i="3" s="1"/>
  <c r="FF19" i="3" s="1"/>
  <c r="FG19" i="3" s="1"/>
  <c r="FH19" i="3" s="1"/>
  <c r="FI19" i="3" s="1"/>
  <c r="FJ19" i="3" s="1"/>
  <c r="FK19" i="3" s="1"/>
  <c r="FL19" i="3" s="1"/>
  <c r="FM19" i="3" s="1"/>
  <c r="FN19" i="3" s="1"/>
  <c r="FO19" i="3" s="1"/>
  <c r="FP19" i="3" s="1"/>
  <c r="FQ19" i="3" s="1"/>
  <c r="FR19" i="3" s="1"/>
  <c r="FS19" i="3" s="1"/>
  <c r="FT19" i="3" s="1"/>
  <c r="FU19" i="3" s="1"/>
  <c r="FV19" i="3" s="1"/>
  <c r="FW19" i="3" s="1"/>
  <c r="FX19" i="3" s="1"/>
  <c r="FY19" i="3" s="1"/>
  <c r="FZ19" i="3" s="1"/>
  <c r="GA19" i="3" s="1"/>
  <c r="GB19" i="3" s="1"/>
  <c r="GC19" i="3" s="1"/>
  <c r="GD19" i="3" s="1"/>
  <c r="GE19" i="3" s="1"/>
  <c r="GF19" i="3" s="1"/>
  <c r="GG19" i="3" s="1"/>
  <c r="GH19" i="3" s="1"/>
  <c r="GI19" i="3" s="1"/>
  <c r="GJ19" i="3" s="1"/>
  <c r="GK19" i="3" s="1"/>
  <c r="GL19" i="3" s="1"/>
  <c r="GM19" i="3" s="1"/>
  <c r="GN19" i="3" s="1"/>
  <c r="GO19" i="3" s="1"/>
  <c r="GP19" i="3" s="1"/>
  <c r="GQ19" i="3" s="1"/>
  <c r="GR19" i="3" s="1"/>
  <c r="GS19" i="3" s="1"/>
  <c r="GT19" i="3" s="1"/>
  <c r="GU19" i="3" s="1"/>
  <c r="GV19" i="3" s="1"/>
  <c r="GW19" i="3" s="1"/>
  <c r="GX19" i="3" s="1"/>
  <c r="GY19" i="3" s="1"/>
  <c r="GZ19" i="3" s="1"/>
  <c r="HA19" i="3" s="1"/>
  <c r="HB19" i="3" s="1"/>
  <c r="HC19" i="3" s="1"/>
  <c r="HD19" i="3" s="1"/>
  <c r="R40" i="3" s="1"/>
  <c r="R42" i="3" s="1"/>
  <c r="R44" i="3" s="1"/>
  <c r="R46" i="3" s="1"/>
  <c r="AN24" i="3"/>
  <c r="AN28" i="3"/>
  <c r="R8" i="3"/>
  <c r="R13" i="3"/>
  <c r="R23" i="3" s="1"/>
  <c r="R4" i="3"/>
  <c r="X4" i="3" s="1"/>
  <c r="X5" i="3" s="1"/>
  <c r="X22" i="3" l="1"/>
  <c r="X8" i="3"/>
  <c r="X13" i="3" s="1"/>
  <c r="R17" i="3"/>
  <c r="R27" i="3"/>
  <c r="X27" i="3" l="1"/>
  <c r="X17" i="3"/>
  <c r="Y27" i="3"/>
  <c r="X23" i="3"/>
  <c r="R18" i="3"/>
  <c r="X18" i="3" s="1"/>
  <c r="R28" i="3"/>
  <c r="R24" i="3"/>
  <c r="X19" i="3" l="1"/>
  <c r="Y28" i="3"/>
  <c r="X24" i="3"/>
  <c r="X28" i="3"/>
  <c r="X33" i="3"/>
  <c r="R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8" authorId="0" shapeId="0" xr:uid="{49F65C6F-4476-4BE0-AAAD-45C6BE329A9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Communications Platform as a Service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" authorId="0" shapeId="0" xr:uid="{799575B5-D3C5-4916-A92A-24A36403C0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Przejęcie MailerLite + Oxylion</t>
        </r>
      </text>
    </comment>
    <comment ref="B10" authorId="0" shapeId="0" xr:uid="{18FC108B-7DBB-4586-B594-D760D3C50D08}">
      <text>
        <r>
          <rPr>
            <sz val="9"/>
            <color indexed="81"/>
            <rFont val="Tahoma"/>
            <family val="2"/>
          </rPr>
          <t>Zysk na sprzedaży niefinansowych aktywów trwałych</t>
        </r>
      </text>
    </comment>
    <comment ref="B16" authorId="0" shapeId="0" xr:uid="{A4663D91-F8C4-48F1-B40F-FAA138415395}">
      <text>
        <r>
          <rPr>
            <sz val="9"/>
            <color indexed="81"/>
            <rFont val="Tahoma"/>
            <family val="2"/>
          </rPr>
          <t>Udział w stratach jednostek wycenianych metodą praw własności</t>
        </r>
      </text>
    </comment>
    <comment ref="N17" authorId="0" shapeId="0" xr:uid="{74172ACA-67A2-42DF-AF3D-1CCD4BECCF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Duże różnice kursów przyczynił się do większego zysku</t>
        </r>
      </text>
    </comment>
    <comment ref="M18" authorId="0" shapeId="0" xr:uid="{E0B873BA-6417-48AD-82DF-5E91E47D13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Dopłata
</t>
        </r>
      </text>
    </comment>
  </commentList>
</comments>
</file>

<file path=xl/sharedStrings.xml><?xml version="1.0" encoding="utf-8"?>
<sst xmlns="http://schemas.openxmlformats.org/spreadsheetml/2006/main" count="137" uniqueCount="112">
  <si>
    <t>Ticker</t>
  </si>
  <si>
    <t>Price</t>
  </si>
  <si>
    <t>Shares</t>
  </si>
  <si>
    <t>MC</t>
  </si>
  <si>
    <t>Cash</t>
  </si>
  <si>
    <t>Debt</t>
  </si>
  <si>
    <t>EV</t>
  </si>
  <si>
    <t>PLN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</si>
  <si>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</si>
  <si>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</si>
  <si>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</si>
  <si>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</si>
  <si>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</si>
  <si>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</si>
  <si>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</si>
  <si>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</si>
  <si>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</si>
  <si>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</si>
  <si>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</si>
  <si>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</si>
  <si>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</si>
  <si>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COGS</t>
  </si>
  <si>
    <t>Income</t>
  </si>
  <si>
    <t>S&amp;M</t>
  </si>
  <si>
    <t>G&amp;A</t>
  </si>
  <si>
    <t>Operating Expenses</t>
  </si>
  <si>
    <t>Other income</t>
  </si>
  <si>
    <t>Other expenses</t>
  </si>
  <si>
    <t>Taxes</t>
  </si>
  <si>
    <t>Tax Rate</t>
  </si>
  <si>
    <t>Net Income</t>
  </si>
  <si>
    <t>Balance Sheet</t>
  </si>
  <si>
    <t>Intangibles</t>
  </si>
  <si>
    <t>Assets</t>
  </si>
  <si>
    <t>VRC</t>
  </si>
  <si>
    <t>A/R</t>
  </si>
  <si>
    <t>Interest income</t>
  </si>
  <si>
    <t>Leasing income</t>
  </si>
  <si>
    <t>OA</t>
  </si>
  <si>
    <t>LT Debt</t>
  </si>
  <si>
    <t>Short-term liabilities</t>
  </si>
  <si>
    <t>OL</t>
  </si>
  <si>
    <t>Liabilities</t>
  </si>
  <si>
    <t>Operating Profit</t>
  </si>
  <si>
    <t>Revenue y/y</t>
  </si>
  <si>
    <t>Gross Margin</t>
  </si>
  <si>
    <t>Operating Margin</t>
  </si>
  <si>
    <t>Net Margin</t>
  </si>
  <si>
    <t>Pretax Income</t>
  </si>
  <si>
    <t>https://www.bankier.pl/static/att/emitent/2024-05/Vercom-sprawozdanie-zarzadu-Q1-2024_202405200904878096.pdf</t>
  </si>
  <si>
    <t>Zysk brutto ze sprzedaży</t>
  </si>
  <si>
    <t>Przychody ze sprzedaży</t>
  </si>
  <si>
    <t>Main</t>
  </si>
  <si>
    <t>Koszty wytworzenia usług</t>
  </si>
  <si>
    <t>Koszty sprzedaży i marketingu</t>
  </si>
  <si>
    <t>Koszty ogól. zarządu</t>
  </si>
  <si>
    <t>Profit</t>
  </si>
  <si>
    <t>Zysk na sprzedaży</t>
  </si>
  <si>
    <t>Sprzedaż niefinansowych AT</t>
  </si>
  <si>
    <t>Pozostałe koszty operacyjne</t>
  </si>
  <si>
    <t>P. odpisy aktualizujące</t>
  </si>
  <si>
    <t>Pozstałe przychody operacyjne</t>
  </si>
  <si>
    <t>Zysk na działal. operacyjnej</t>
  </si>
  <si>
    <t>Przychody finansowe</t>
  </si>
  <si>
    <t>Koszty finansowe</t>
  </si>
  <si>
    <t>Zysk przed podatkiem</t>
  </si>
  <si>
    <t>Podatek</t>
  </si>
  <si>
    <t>Zysk netto</t>
  </si>
  <si>
    <t>Straty jednostek [...]</t>
  </si>
  <si>
    <t>Opodatkowanie</t>
  </si>
  <si>
    <t>Zmiana przychodów R/R</t>
  </si>
  <si>
    <t>Marża netto</t>
  </si>
  <si>
    <t>Marża brutto</t>
  </si>
  <si>
    <t>Marża operacyjna</t>
  </si>
  <si>
    <t>Pretax income</t>
  </si>
  <si>
    <t>Tax</t>
  </si>
  <si>
    <t>Net profit</t>
  </si>
  <si>
    <t>Net margin</t>
  </si>
  <si>
    <t>Gross margin</t>
  </si>
  <si>
    <t>EUR</t>
  </si>
  <si>
    <t>CZK</t>
  </si>
  <si>
    <t>USD</t>
  </si>
  <si>
    <t>*/PLN</t>
  </si>
  <si>
    <t>Właściciel:</t>
  </si>
  <si>
    <t>Cyber Folks</t>
  </si>
  <si>
    <t>CPaaS</t>
  </si>
  <si>
    <t>Klienci</t>
  </si>
  <si>
    <t xml:space="preserve">Volkswagen Finance, Mbank, Żabka, ING, Rossman, </t>
  </si>
  <si>
    <t>Biura</t>
  </si>
  <si>
    <t>Berlin, Warszawa, Rybnik, Praga, Brno, Poznan</t>
  </si>
  <si>
    <t>Revenue Y/Y</t>
  </si>
  <si>
    <t>Net Income Y/Y</t>
  </si>
  <si>
    <t>Zysk R/R</t>
  </si>
  <si>
    <t>Operating Profit Y/Y</t>
  </si>
  <si>
    <t>Zysk operacyjny R/R</t>
  </si>
  <si>
    <t>Q121</t>
  </si>
  <si>
    <t>Q221</t>
  </si>
  <si>
    <t>Q321</t>
  </si>
  <si>
    <t>Q421</t>
  </si>
  <si>
    <t>(tys. PLN)</t>
  </si>
  <si>
    <t>Operating margin</t>
  </si>
  <si>
    <t xml:space="preserve">Discount </t>
  </si>
  <si>
    <t>Maturity</t>
  </si>
  <si>
    <t>NPV</t>
  </si>
  <si>
    <t>Cash-Debt</t>
  </si>
  <si>
    <t>Net NPV</t>
  </si>
  <si>
    <t>Share Price</t>
  </si>
  <si>
    <t xml:space="preserve">Earnings </t>
  </si>
  <si>
    <t>P/E</t>
  </si>
  <si>
    <t xml:space="preserve">Net Price </t>
  </si>
  <si>
    <t>S&amp;M R/R</t>
  </si>
  <si>
    <t>G&amp;A R/R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</si>
</sst>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3" fontId="1" fillId="0" borderId="0" xfId="0" applyNumberFormat="1" applyFon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1" fillId="0" borderId="0" xfId="0" applyFont="1"/>
    <xf numFmtId="9" fontId="0" fillId="0" borderId="0" xfId="0" applyNumberFormat="1"/>
    <xf numFmtId="0" fontId="3" fillId="0" borderId="0" xfId="0" applyFont="1"/>
    <xf numFmtId="4" fontId="0" fillId="0" borderId="0" xfId="0" applyNumberFormat="1"/>
    <xf numFmtId="4" fontId="2" fillId="0" borderId="0" xfId="0" applyNumberFormat="1" applyFont="1"/>
    <xf numFmtId="9" fontId="1" fillId="0" borderId="0" xfId="0" applyNumberFormat="1" applyFont="1"/>
    <xf numFmtId="9" fontId="2" fillId="0" borderId="0" xfId="0" applyNumberFormat="1" applyFont="1"/>
    <xf numFmtId="0" fontId="4" fillId="0" borderId="0" xfId="1"/>
    <xf numFmtId="0" fontId="5" fillId="0" borderId="0" xfId="0" applyFont="1"/>
    <xf numFmtId="14" fontId="0" fillId="0" borderId="0" xfId="0" applyNumberFormat="1"/>
    <xf numFmtId="164" fontId="0" fillId="0" borderId="0" xfId="0" applyNumberFormat="1"/>
    <xf numFmtId="10" fontId="1" fillId="0" borderId="0" xfId="0" applyNumberFormat="1" applyFont="1"/>
    <xf numFmtId="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34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9283678-72A0-44CC-B325-9B8A963A89CE}"/>
            </a:ext>
          </a:extLst>
        </xdr:cNvPr>
        <xdr:cNvCxnSpPr/>
      </xdr:nvCxnSpPr>
      <xdr:spPr>
        <a:xfrm>
          <a:off x="8639175" y="0"/>
          <a:ext cx="0" cy="5362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695325</xdr:colOff>
      <xdr:row>0</xdr:row>
      <xdr:rowOff>19050</xdr:rowOff>
    </xdr:from>
    <xdr:to>
      <xdr:col>23</xdr:col>
      <xdr:colOff>9526</xdr:colOff>
      <xdr:row>33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61D80F9-15B2-4213-AAFE-AEC6F45DC67F}"/>
            </a:ext>
          </a:extLst>
        </xdr:cNvPr>
        <xdr:cNvCxnSpPr/>
      </xdr:nvCxnSpPr>
      <xdr:spPr>
        <a:xfrm flipH="1">
          <a:off x="18488025" y="19050"/>
          <a:ext cx="19051" cy="5705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</xdr:row>
      <xdr:rowOff>180975</xdr:rowOff>
    </xdr:from>
    <xdr:to>
      <xdr:col>11</xdr:col>
      <xdr:colOff>19050</xdr:colOff>
      <xdr:row>16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85AEC75-5B83-4DF5-9604-E13A6D65361F}"/>
            </a:ext>
          </a:extLst>
        </xdr:cNvPr>
        <xdr:cNvCxnSpPr/>
      </xdr:nvCxnSpPr>
      <xdr:spPr>
        <a:xfrm>
          <a:off x="8315325" y="371475"/>
          <a:ext cx="0" cy="397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nkier.pl/static/att/emitent/2024-05/Vercom-sprawozdanie-zarzadu-Q1-2024_202405200904878096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F14E-0A45-4BF1-ABB9-D99A2E0D4A0C}">
  <dimension ref="J3:S21"/>
  <sheetViews>
    <sheetView workbookViewId="0">
      <selection activeCell="Q8" sqref="Q8"/>
    </sheetView>
  </sheetViews>
  <sheetFormatPr defaultRowHeight="14.3" x14ac:dyDescent="0.25"/>
  <cols>
    <col min="10" max="10" width="10" bestFit="1" customWidth="1"/>
    <col min="11" max="11" width="19.875" customWidth="1"/>
    <col min="17" max="17" width="10" bestFit="1" customWidth="1"/>
    <col min="19" max="19" width="12.75" bestFit="1" customWidth="1"/>
  </cols>
  <sheetData>
    <row r="3" spans="10:19" x14ac:dyDescent="0.25">
      <c r="Q3" s="5" t="s">
        <v>7</v>
      </c>
    </row>
    <row r="4" spans="10:19" x14ac:dyDescent="0.25">
      <c r="J4" t="s">
        <v>0</v>
      </c>
      <c r="K4" t="s">
        <v>34</v>
      </c>
      <c r="P4" s="3" t="s">
        <v>1</v>
      </c>
      <c r="Q4">
        <v>135.5</v>
      </c>
    </row>
    <row r="5" spans="10:19" x14ac:dyDescent="0.25">
      <c r="P5" s="3" t="s">
        <v>2</v>
      </c>
      <c r="Q5" s="1">
        <v>22.222999999999999</v>
      </c>
      <c r="R5" t="s">
        <v>16</v>
      </c>
    </row>
    <row r="6" spans="10:19" x14ac:dyDescent="0.25">
      <c r="J6" s="5" t="s">
        <v>83</v>
      </c>
      <c r="K6" s="3" t="s">
        <v>84</v>
      </c>
      <c r="P6" s="3" t="s">
        <v>3</v>
      </c>
      <c r="Q6" s="2">
        <f>Q4*Q5</f>
        <v>3011.2165</v>
      </c>
    </row>
    <row r="7" spans="10:19" x14ac:dyDescent="0.25">
      <c r="P7" s="3" t="s">
        <v>4</v>
      </c>
      <c r="Q7" s="2">
        <f>77.386</f>
        <v>77.385999999999996</v>
      </c>
      <c r="R7" t="s">
        <v>16</v>
      </c>
    </row>
    <row r="8" spans="10:19" x14ac:dyDescent="0.25">
      <c r="K8" t="s">
        <v>85</v>
      </c>
      <c r="P8" s="3" t="s">
        <v>5</v>
      </c>
      <c r="Q8" s="2">
        <f>103.031+84.239+96.061</f>
        <v>283.33100000000002</v>
      </c>
      <c r="R8" t="s">
        <v>16</v>
      </c>
      <c r="S8" s="2"/>
    </row>
    <row r="9" spans="10:19" x14ac:dyDescent="0.25">
      <c r="P9" s="3" t="s">
        <v>6</v>
      </c>
      <c r="Q9" s="2">
        <f>Q6-Q7+Q8</f>
        <v>3217.1615000000002</v>
      </c>
    </row>
    <row r="12" spans="10:19" x14ac:dyDescent="0.25">
      <c r="K12" t="s">
        <v>16</v>
      </c>
      <c r="L12" s="12" t="s">
        <v>49</v>
      </c>
      <c r="P12" s="3" t="s">
        <v>107</v>
      </c>
      <c r="Q12" s="2"/>
      <c r="R12" t="s">
        <v>16</v>
      </c>
    </row>
    <row r="13" spans="10:19" x14ac:dyDescent="0.25">
      <c r="P13" s="3" t="s">
        <v>108</v>
      </c>
      <c r="Q13" s="8"/>
    </row>
    <row r="15" spans="10:19" x14ac:dyDescent="0.25">
      <c r="J15" t="s">
        <v>86</v>
      </c>
      <c r="K15" s="3" t="s">
        <v>87</v>
      </c>
    </row>
    <row r="16" spans="10:19" x14ac:dyDescent="0.25">
      <c r="J16" t="s">
        <v>88</v>
      </c>
      <c r="K16" t="s">
        <v>89</v>
      </c>
    </row>
    <row r="21" spans="11:11" x14ac:dyDescent="0.25">
      <c r="K21" s="2"/>
    </row>
  </sheetData>
  <hyperlinks>
    <hyperlink ref="L12" r:id="rId1" xr:uid="{70ED090F-882D-4598-AF85-47227A33701B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AA61-F080-48E8-A876-2F56C70E81C2}">
  <dimension ref="A1:HD4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5" sqref="Q5"/>
    </sheetView>
  </sheetViews>
  <sheetFormatPr defaultRowHeight="14.3" x14ac:dyDescent="0.25"/>
  <cols>
    <col min="1" max="1" width="19.25" customWidth="1"/>
    <col min="2" max="2" width="28" bestFit="1" customWidth="1"/>
    <col min="3" max="6" width="12.375" customWidth="1"/>
    <col min="7" max="7" width="13.125" customWidth="1"/>
    <col min="8" max="16" width="10.625" customWidth="1"/>
    <col min="18" max="18" width="12" bestFit="1" customWidth="1"/>
    <col min="20" max="40" width="10.625" customWidth="1"/>
  </cols>
  <sheetData>
    <row r="1" spans="1:40" x14ac:dyDescent="0.25">
      <c r="A1" t="s">
        <v>52</v>
      </c>
      <c r="C1" s="14">
        <v>44285</v>
      </c>
      <c r="D1" s="14">
        <v>44377</v>
      </c>
      <c r="E1" s="14">
        <v>44469</v>
      </c>
      <c r="F1" s="14">
        <v>44560</v>
      </c>
      <c r="G1" s="14">
        <v>44650</v>
      </c>
      <c r="H1" s="14">
        <v>44742</v>
      </c>
      <c r="I1" s="14">
        <v>44834</v>
      </c>
      <c r="J1" s="14">
        <v>44925</v>
      </c>
      <c r="K1" s="14">
        <v>45015</v>
      </c>
      <c r="L1" s="14">
        <v>45107</v>
      </c>
      <c r="M1" s="14">
        <v>45199</v>
      </c>
      <c r="N1" s="14">
        <v>45290</v>
      </c>
      <c r="O1" s="14">
        <v>45381</v>
      </c>
      <c r="P1" s="14"/>
    </row>
    <row r="2" spans="1:40" x14ac:dyDescent="0.25">
      <c r="A2" t="s">
        <v>99</v>
      </c>
      <c r="C2" t="s">
        <v>95</v>
      </c>
      <c r="D2" t="s">
        <v>96</v>
      </c>
      <c r="E2" t="s">
        <v>97</v>
      </c>
      <c r="F2" t="s">
        <v>98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T2">
        <v>2020</v>
      </c>
      <c r="U2">
        <v>2021</v>
      </c>
      <c r="V2">
        <v>2022</v>
      </c>
      <c r="W2">
        <f>V2+1</f>
        <v>2023</v>
      </c>
      <c r="X2">
        <f>W2+1</f>
        <v>2024</v>
      </c>
      <c r="Y2">
        <f t="shared" ref="Y2:AN2" si="0">X2+1</f>
        <v>2025</v>
      </c>
      <c r="Z2">
        <f t="shared" si="0"/>
        <v>2026</v>
      </c>
      <c r="AA2">
        <f t="shared" si="0"/>
        <v>2027</v>
      </c>
      <c r="AB2">
        <f t="shared" si="0"/>
        <v>2028</v>
      </c>
      <c r="AC2">
        <f t="shared" si="0"/>
        <v>2029</v>
      </c>
      <c r="AD2">
        <f t="shared" si="0"/>
        <v>2030</v>
      </c>
      <c r="AE2">
        <f t="shared" si="0"/>
        <v>2031</v>
      </c>
      <c r="AF2">
        <f t="shared" si="0"/>
        <v>2032</v>
      </c>
      <c r="AG2">
        <f t="shared" si="0"/>
        <v>2033</v>
      </c>
      <c r="AH2">
        <f t="shared" si="0"/>
        <v>2034</v>
      </c>
      <c r="AI2">
        <f t="shared" si="0"/>
        <v>2035</v>
      </c>
      <c r="AJ2">
        <f t="shared" si="0"/>
        <v>2036</v>
      </c>
      <c r="AK2">
        <f t="shared" si="0"/>
        <v>2037</v>
      </c>
      <c r="AL2">
        <f t="shared" si="0"/>
        <v>2038</v>
      </c>
      <c r="AM2">
        <f t="shared" si="0"/>
        <v>2039</v>
      </c>
      <c r="AN2">
        <f t="shared" si="0"/>
        <v>2040</v>
      </c>
    </row>
    <row r="3" spans="1:40" x14ac:dyDescent="0.25">
      <c r="A3" s="13" t="s">
        <v>20</v>
      </c>
      <c r="B3" t="s">
        <v>51</v>
      </c>
      <c r="C3" s="2">
        <v>38518</v>
      </c>
      <c r="D3" s="2">
        <v>39634</v>
      </c>
      <c r="E3" s="2">
        <v>44297</v>
      </c>
      <c r="F3" s="2">
        <v>56470</v>
      </c>
      <c r="G3" s="2">
        <v>49504</v>
      </c>
      <c r="H3" s="2">
        <v>53419</v>
      </c>
      <c r="I3" s="2">
        <v>76020</v>
      </c>
      <c r="J3" s="2">
        <v>81375</v>
      </c>
      <c r="K3" s="2">
        <v>74863</v>
      </c>
      <c r="L3" s="2">
        <v>81099</v>
      </c>
      <c r="M3" s="2">
        <v>84928</v>
      </c>
      <c r="N3" s="2">
        <v>96487</v>
      </c>
      <c r="O3" s="2">
        <v>104568</v>
      </c>
      <c r="P3" s="2">
        <v>115906</v>
      </c>
      <c r="Q3" s="2">
        <f>M3*1.4</f>
        <v>118899.2</v>
      </c>
      <c r="R3" s="2">
        <f>N3*1.3</f>
        <v>125433.1</v>
      </c>
      <c r="T3" s="2">
        <v>116595</v>
      </c>
      <c r="U3" s="2">
        <f>SUM(C3:F3)</f>
        <v>178919</v>
      </c>
      <c r="V3" s="2">
        <f>SUM(G3:J3)</f>
        <v>260318</v>
      </c>
      <c r="W3" s="2">
        <f>SUM(K3:N3)</f>
        <v>337377</v>
      </c>
      <c r="X3" s="2">
        <f>SUM(O3:R3)</f>
        <v>464806.30000000005</v>
      </c>
      <c r="Y3" s="2">
        <f>X3*1.2</f>
        <v>557767.56000000006</v>
      </c>
      <c r="Z3" s="2">
        <f>Y3*1.1</f>
        <v>613544.31600000011</v>
      </c>
      <c r="AA3" s="2">
        <f>Z3*1.1</f>
        <v>674898.74760000012</v>
      </c>
      <c r="AB3" s="2">
        <f>AA3*1.05</f>
        <v>708643.68498000014</v>
      </c>
      <c r="AC3" s="2">
        <f>AB3*1.03</f>
        <v>729902.99552940018</v>
      </c>
      <c r="AD3" s="2">
        <f>AC3*1.03</f>
        <v>751800.08539528225</v>
      </c>
      <c r="AE3" s="2">
        <f>AD3*1.03</f>
        <v>774354.08795714076</v>
      </c>
      <c r="AF3" s="2">
        <f t="shared" ref="AF3:AN3" si="1">AE3*1.01</f>
        <v>782097.62883671222</v>
      </c>
      <c r="AG3" s="2">
        <f t="shared" si="1"/>
        <v>789918.6051250794</v>
      </c>
      <c r="AH3" s="2">
        <f t="shared" si="1"/>
        <v>797817.79117633018</v>
      </c>
      <c r="AI3" s="2">
        <f t="shared" si="1"/>
        <v>805795.96908809349</v>
      </c>
      <c r="AJ3" s="2">
        <f t="shared" si="1"/>
        <v>813853.92877897446</v>
      </c>
      <c r="AK3" s="2">
        <f t="shared" si="1"/>
        <v>821992.46806676418</v>
      </c>
      <c r="AL3" s="2">
        <f t="shared" si="1"/>
        <v>830212.39274743188</v>
      </c>
      <c r="AM3" s="2">
        <f t="shared" si="1"/>
        <v>838514.51667490625</v>
      </c>
      <c r="AN3" s="2">
        <f t="shared" si="1"/>
        <v>846899.66184165527</v>
      </c>
    </row>
    <row r="4" spans="1:40" x14ac:dyDescent="0.25">
      <c r="A4" s="13" t="s">
        <v>21</v>
      </c>
      <c r="B4" t="s">
        <v>53</v>
      </c>
      <c r="C4" s="2">
        <v>28176</v>
      </c>
      <c r="D4" s="2">
        <v>27931</v>
      </c>
      <c r="E4" s="2">
        <v>30572</v>
      </c>
      <c r="F4" s="2">
        <v>35526</v>
      </c>
      <c r="G4" s="2">
        <v>33084</v>
      </c>
      <c r="H4" s="2">
        <v>32481</v>
      </c>
      <c r="I4" s="2">
        <v>38947</v>
      </c>
      <c r="J4" s="2">
        <v>40073</v>
      </c>
      <c r="K4" s="2">
        <v>34590</v>
      </c>
      <c r="L4" s="2">
        <v>37558</v>
      </c>
      <c r="M4" s="2">
        <v>37623</v>
      </c>
      <c r="N4" s="2">
        <v>46517</v>
      </c>
      <c r="O4" s="2">
        <v>53939</v>
      </c>
      <c r="P4" s="2">
        <v>62130</v>
      </c>
      <c r="Q4" s="2">
        <f>Q3-Q5</f>
        <v>64205.567999999999</v>
      </c>
      <c r="R4" s="2">
        <f>R3-R5</f>
        <v>67733.874000000011</v>
      </c>
      <c r="T4" s="2">
        <v>81058</v>
      </c>
      <c r="U4" s="2">
        <f>SUM(C4:F4)</f>
        <v>122205</v>
      </c>
      <c r="V4" s="2">
        <f>SUM(G4:J4)</f>
        <v>144585</v>
      </c>
      <c r="W4" s="2">
        <f>SUM(K4:N4)</f>
        <v>156288</v>
      </c>
      <c r="X4" s="2">
        <f>SUM(O4:R4)</f>
        <v>248008.44200000001</v>
      </c>
      <c r="Y4" s="2">
        <f t="shared" ref="Y4:AN4" si="2">Y3-Y5</f>
        <v>301194.48239999998</v>
      </c>
      <c r="Z4" s="2">
        <f t="shared" si="2"/>
        <v>331313.93064000004</v>
      </c>
      <c r="AA4" s="2">
        <f t="shared" si="2"/>
        <v>364445.32370400004</v>
      </c>
      <c r="AB4" s="2">
        <f t="shared" si="2"/>
        <v>382667.58988920006</v>
      </c>
      <c r="AC4" s="2">
        <f t="shared" si="2"/>
        <v>394147.61758587608</v>
      </c>
      <c r="AD4" s="2">
        <f t="shared" si="2"/>
        <v>405972.04611345241</v>
      </c>
      <c r="AE4" s="2">
        <f t="shared" si="2"/>
        <v>418151.20749685599</v>
      </c>
      <c r="AF4" s="2">
        <f t="shared" si="2"/>
        <v>422332.71957182459</v>
      </c>
      <c r="AG4" s="2">
        <f t="shared" si="2"/>
        <v>426556.04676754284</v>
      </c>
      <c r="AH4" s="2">
        <f t="shared" si="2"/>
        <v>430821.60723521828</v>
      </c>
      <c r="AI4" s="2">
        <f t="shared" si="2"/>
        <v>435129.82330757048</v>
      </c>
      <c r="AJ4" s="2">
        <f t="shared" si="2"/>
        <v>439481.12154064619</v>
      </c>
      <c r="AK4" s="2">
        <f t="shared" si="2"/>
        <v>443875.93275605264</v>
      </c>
      <c r="AL4" s="2">
        <f t="shared" si="2"/>
        <v>448314.69208361319</v>
      </c>
      <c r="AM4" s="2">
        <f t="shared" si="2"/>
        <v>452797.83900444937</v>
      </c>
      <c r="AN4" s="2">
        <f t="shared" si="2"/>
        <v>457325.81739449385</v>
      </c>
    </row>
    <row r="5" spans="1:40" s="3" customFormat="1" x14ac:dyDescent="0.25">
      <c r="A5" s="13" t="s">
        <v>56</v>
      </c>
      <c r="B5" s="3" t="s">
        <v>50</v>
      </c>
      <c r="C5" s="4">
        <f t="shared" ref="C5" si="3">C3-C4</f>
        <v>10342</v>
      </c>
      <c r="D5" s="4">
        <f t="shared" ref="D5:E5" si="4">D3-D4</f>
        <v>11703</v>
      </c>
      <c r="E5" s="4">
        <f t="shared" si="4"/>
        <v>13725</v>
      </c>
      <c r="F5" s="4">
        <f t="shared" ref="F5:P5" si="5">F3-F4</f>
        <v>20944</v>
      </c>
      <c r="G5" s="4">
        <f t="shared" si="5"/>
        <v>16420</v>
      </c>
      <c r="H5" s="4">
        <f t="shared" si="5"/>
        <v>20938</v>
      </c>
      <c r="I5" s="4">
        <f t="shared" si="5"/>
        <v>37073</v>
      </c>
      <c r="J5" s="4">
        <f t="shared" si="5"/>
        <v>41302</v>
      </c>
      <c r="K5" s="4">
        <f t="shared" si="5"/>
        <v>40273</v>
      </c>
      <c r="L5" s="4">
        <f t="shared" si="5"/>
        <v>43541</v>
      </c>
      <c r="M5" s="4">
        <f t="shared" si="5"/>
        <v>47305</v>
      </c>
      <c r="N5" s="4">
        <f t="shared" si="5"/>
        <v>49970</v>
      </c>
      <c r="O5" s="4">
        <f t="shared" si="5"/>
        <v>50629</v>
      </c>
      <c r="P5" s="4">
        <f t="shared" si="5"/>
        <v>53776</v>
      </c>
      <c r="Q5" s="4">
        <f>Q3*Q22</f>
        <v>54693.631999999998</v>
      </c>
      <c r="R5" s="4">
        <f>R3*R22</f>
        <v>57699.226000000002</v>
      </c>
      <c r="T5" s="4">
        <f>T3-T4</f>
        <v>35537</v>
      </c>
      <c r="U5" s="4">
        <f>U3-U4</f>
        <v>56714</v>
      </c>
      <c r="V5" s="4">
        <f>V3-V4</f>
        <v>115733</v>
      </c>
      <c r="W5" s="4">
        <f>W3-W4</f>
        <v>181089</v>
      </c>
      <c r="X5" s="4">
        <f>X3-X4</f>
        <v>216797.85800000004</v>
      </c>
      <c r="Y5" s="4">
        <f t="shared" ref="Y5:AN5" si="6">Y3*Y22</f>
        <v>256573.07760000005</v>
      </c>
      <c r="Z5" s="4">
        <f t="shared" si="6"/>
        <v>282230.38536000007</v>
      </c>
      <c r="AA5" s="4">
        <f t="shared" si="6"/>
        <v>310453.42389600008</v>
      </c>
      <c r="AB5" s="4">
        <f t="shared" si="6"/>
        <v>325976.09509080008</v>
      </c>
      <c r="AC5" s="4">
        <f t="shared" si="6"/>
        <v>335755.3779435241</v>
      </c>
      <c r="AD5" s="4">
        <f t="shared" si="6"/>
        <v>345828.03928182984</v>
      </c>
      <c r="AE5" s="4">
        <f t="shared" si="6"/>
        <v>356202.88046028477</v>
      </c>
      <c r="AF5" s="4">
        <f t="shared" si="6"/>
        <v>359764.90926488762</v>
      </c>
      <c r="AG5" s="4">
        <f t="shared" si="6"/>
        <v>363362.55835753656</v>
      </c>
      <c r="AH5" s="4">
        <f t="shared" si="6"/>
        <v>366996.1839411119</v>
      </c>
      <c r="AI5" s="4">
        <f t="shared" si="6"/>
        <v>370666.14578052302</v>
      </c>
      <c r="AJ5" s="4">
        <f t="shared" si="6"/>
        <v>374372.80723832827</v>
      </c>
      <c r="AK5" s="4">
        <f t="shared" si="6"/>
        <v>378116.53531071154</v>
      </c>
      <c r="AL5" s="4">
        <f t="shared" si="6"/>
        <v>381897.70066381869</v>
      </c>
      <c r="AM5" s="4">
        <f t="shared" si="6"/>
        <v>385716.67767045688</v>
      </c>
      <c r="AN5" s="4">
        <f t="shared" si="6"/>
        <v>389573.84444716142</v>
      </c>
    </row>
    <row r="6" spans="1:40" x14ac:dyDescent="0.25">
      <c r="A6" s="13" t="s">
        <v>23</v>
      </c>
      <c r="B6" t="s">
        <v>54</v>
      </c>
      <c r="C6" s="2">
        <v>625</v>
      </c>
      <c r="D6" s="2">
        <v>781</v>
      </c>
      <c r="E6" s="2">
        <v>1419</v>
      </c>
      <c r="F6" s="2">
        <v>2208</v>
      </c>
      <c r="G6" s="2">
        <v>1727</v>
      </c>
      <c r="H6" s="2">
        <v>2626</v>
      </c>
      <c r="I6" s="2">
        <v>11025</v>
      </c>
      <c r="J6" s="2">
        <v>8928</v>
      </c>
      <c r="K6" s="2">
        <v>10346</v>
      </c>
      <c r="L6" s="2">
        <v>10227</v>
      </c>
      <c r="M6" s="2">
        <v>11914</v>
      </c>
      <c r="N6" s="2">
        <v>11692</v>
      </c>
      <c r="O6" s="2">
        <v>11477</v>
      </c>
      <c r="P6" s="2">
        <v>11673</v>
      </c>
      <c r="Q6" s="2">
        <f>M6*1.1</f>
        <v>13105.400000000001</v>
      </c>
      <c r="R6" s="2">
        <f>N6*1.1</f>
        <v>12861.2</v>
      </c>
      <c r="T6" s="2">
        <v>2197</v>
      </c>
      <c r="U6" s="2">
        <f>SUM(C6:F6)</f>
        <v>5033</v>
      </c>
      <c r="V6" s="2">
        <f>SUM(G6:J6)</f>
        <v>24306</v>
      </c>
      <c r="W6" s="2">
        <f>SUM(K6:N6)</f>
        <v>44179</v>
      </c>
      <c r="X6" s="2">
        <f>SUM(O6:R6)</f>
        <v>49116.600000000006</v>
      </c>
      <c r="Y6" s="2">
        <f t="shared" ref="Y6:AA7" si="7">X6*1.09</f>
        <v>53537.094000000012</v>
      </c>
      <c r="Z6" s="2">
        <f t="shared" si="7"/>
        <v>58355.432460000018</v>
      </c>
      <c r="AA6" s="2">
        <f t="shared" si="7"/>
        <v>63607.421381400025</v>
      </c>
      <c r="AB6" s="2">
        <f>AA6*1.02</f>
        <v>64879.569809028028</v>
      </c>
      <c r="AC6" s="2">
        <f>AB6*1.02</f>
        <v>66177.161205208584</v>
      </c>
      <c r="AD6" s="2">
        <f>AC6*1.01</f>
        <v>66838.932817260677</v>
      </c>
      <c r="AE6" s="2">
        <f>AD6*1.01</f>
        <v>67507.322145433282</v>
      </c>
      <c r="AF6" s="2">
        <f t="shared" ref="AF6:AN6" si="8">AE6*0.99</f>
        <v>66832.248923978943</v>
      </c>
      <c r="AG6" s="2">
        <f t="shared" si="8"/>
        <v>66163.926434739158</v>
      </c>
      <c r="AH6" s="2">
        <f t="shared" si="8"/>
        <v>65502.287170391763</v>
      </c>
      <c r="AI6" s="2">
        <f t="shared" si="8"/>
        <v>64847.264298687842</v>
      </c>
      <c r="AJ6" s="2">
        <f t="shared" si="8"/>
        <v>64198.791655700959</v>
      </c>
      <c r="AK6" s="2">
        <f t="shared" si="8"/>
        <v>63556.80373914395</v>
      </c>
      <c r="AL6" s="2">
        <f t="shared" si="8"/>
        <v>62921.235701752514</v>
      </c>
      <c r="AM6" s="2">
        <f t="shared" si="8"/>
        <v>62292.023344734989</v>
      </c>
      <c r="AN6" s="2">
        <f t="shared" si="8"/>
        <v>61669.103111287637</v>
      </c>
    </row>
    <row r="7" spans="1:40" x14ac:dyDescent="0.25">
      <c r="A7" s="13" t="s">
        <v>24</v>
      </c>
      <c r="B7" t="s">
        <v>55</v>
      </c>
      <c r="C7" s="2">
        <v>2873</v>
      </c>
      <c r="D7" s="2">
        <v>3572</v>
      </c>
      <c r="E7" s="2">
        <v>6559</v>
      </c>
      <c r="F7" s="2">
        <v>10112</v>
      </c>
      <c r="G7" s="2">
        <v>7875</v>
      </c>
      <c r="H7" s="2">
        <v>10477</v>
      </c>
      <c r="I7" s="2">
        <v>13008</v>
      </c>
      <c r="J7" s="2">
        <v>16831</v>
      </c>
      <c r="K7" s="2">
        <v>15632</v>
      </c>
      <c r="L7" s="2">
        <v>16426</v>
      </c>
      <c r="M7" s="2">
        <v>15834</v>
      </c>
      <c r="N7" s="2">
        <v>17318</v>
      </c>
      <c r="O7" s="2">
        <v>19550</v>
      </c>
      <c r="P7" s="2">
        <v>19057</v>
      </c>
      <c r="Q7" s="2">
        <f>M7*1.1</f>
        <v>17417.400000000001</v>
      </c>
      <c r="R7" s="2">
        <f>N7*1.1</f>
        <v>19049.800000000003</v>
      </c>
      <c r="T7" s="2">
        <v>9494</v>
      </c>
      <c r="U7" s="2">
        <f>SUM(C7:F7)</f>
        <v>23116</v>
      </c>
      <c r="V7" s="2">
        <f>SUM(G7:J7)</f>
        <v>48191</v>
      </c>
      <c r="W7" s="2">
        <f>SUM(K7:N7)</f>
        <v>65210</v>
      </c>
      <c r="X7" s="2">
        <f>SUM(O7:R7)</f>
        <v>75074.200000000012</v>
      </c>
      <c r="Y7" s="2">
        <f t="shared" si="7"/>
        <v>81830.878000000012</v>
      </c>
      <c r="Z7" s="2">
        <f t="shared" si="7"/>
        <v>89195.657020000013</v>
      </c>
      <c r="AA7" s="2">
        <f t="shared" si="7"/>
        <v>97223.266151800024</v>
      </c>
      <c r="AB7" s="2">
        <f>AA7*1.02</f>
        <v>99167.731474836022</v>
      </c>
      <c r="AC7" s="2">
        <f>AB7*1.02</f>
        <v>101151.08610433275</v>
      </c>
      <c r="AD7" s="2">
        <f>AC7*1.01</f>
        <v>102162.59696537607</v>
      </c>
      <c r="AE7" s="2">
        <f>AD7*1.01</f>
        <v>103184.22293502983</v>
      </c>
      <c r="AF7" s="2">
        <f t="shared" ref="AF7:AN7" si="9">AE7*0.99</f>
        <v>102152.38070567953</v>
      </c>
      <c r="AG7" s="2">
        <f t="shared" si="9"/>
        <v>101130.85689862273</v>
      </c>
      <c r="AH7" s="2">
        <f t="shared" si="9"/>
        <v>100119.5483296365</v>
      </c>
      <c r="AI7" s="2">
        <f t="shared" si="9"/>
        <v>99118.352846340131</v>
      </c>
      <c r="AJ7" s="2">
        <f t="shared" si="9"/>
        <v>98127.169317876731</v>
      </c>
      <c r="AK7" s="2">
        <f t="shared" si="9"/>
        <v>97145.897624697958</v>
      </c>
      <c r="AL7" s="2">
        <f t="shared" si="9"/>
        <v>96174.438648450974</v>
      </c>
      <c r="AM7" s="2">
        <f t="shared" si="9"/>
        <v>95212.694261966462</v>
      </c>
      <c r="AN7" s="2">
        <f t="shared" si="9"/>
        <v>94260.567319346796</v>
      </c>
    </row>
    <row r="8" spans="1:40" s="3" customFormat="1" x14ac:dyDescent="0.25">
      <c r="A8" s="13"/>
      <c r="B8" s="3" t="s">
        <v>57</v>
      </c>
      <c r="C8" s="4">
        <f t="shared" ref="C8" si="10">C5-C7-C6</f>
        <v>6844</v>
      </c>
      <c r="D8" s="4">
        <f t="shared" ref="D8:E8" si="11">D5-D7-D6</f>
        <v>7350</v>
      </c>
      <c r="E8" s="4">
        <f t="shared" si="11"/>
        <v>5747</v>
      </c>
      <c r="F8" s="4">
        <f t="shared" ref="F8:P8" si="12">F5-F7-F6</f>
        <v>8624</v>
      </c>
      <c r="G8" s="4">
        <f t="shared" si="12"/>
        <v>6818</v>
      </c>
      <c r="H8" s="4">
        <f t="shared" si="12"/>
        <v>7835</v>
      </c>
      <c r="I8" s="4">
        <f t="shared" si="12"/>
        <v>13040</v>
      </c>
      <c r="J8" s="4">
        <f t="shared" si="12"/>
        <v>15543</v>
      </c>
      <c r="K8" s="4">
        <f t="shared" si="12"/>
        <v>14295</v>
      </c>
      <c r="L8" s="4">
        <f t="shared" si="12"/>
        <v>16888</v>
      </c>
      <c r="M8" s="4">
        <f t="shared" si="12"/>
        <v>19557</v>
      </c>
      <c r="N8" s="4">
        <f t="shared" si="12"/>
        <v>20960</v>
      </c>
      <c r="O8" s="4">
        <f t="shared" si="12"/>
        <v>19602</v>
      </c>
      <c r="P8" s="4">
        <f t="shared" si="12"/>
        <v>23046</v>
      </c>
      <c r="Q8" s="4">
        <f t="shared" ref="Q8:R8" si="13">Q5-Q7-Q6</f>
        <v>24170.831999999995</v>
      </c>
      <c r="R8" s="4">
        <f t="shared" si="13"/>
        <v>25788.225999999999</v>
      </c>
      <c r="T8" s="4">
        <f t="shared" ref="T8:Y8" si="14">T5-T7-T6</f>
        <v>23846</v>
      </c>
      <c r="U8" s="4">
        <f t="shared" si="14"/>
        <v>28565</v>
      </c>
      <c r="V8" s="4">
        <f t="shared" si="14"/>
        <v>43236</v>
      </c>
      <c r="W8" s="4">
        <f t="shared" si="14"/>
        <v>71700</v>
      </c>
      <c r="X8" s="4">
        <f t="shared" si="14"/>
        <v>92607.058000000019</v>
      </c>
      <c r="Y8" s="4">
        <f t="shared" si="14"/>
        <v>121205.10560000004</v>
      </c>
      <c r="Z8" s="4">
        <f t="shared" ref="Z8" si="15">Z5-Z7-Z6</f>
        <v>134679.29588000005</v>
      </c>
      <c r="AA8" s="4">
        <f t="shared" ref="AA8:AB8" si="16">AA5-AA7-AA6</f>
        <v>149622.73636280003</v>
      </c>
      <c r="AB8" s="4">
        <f t="shared" si="16"/>
        <v>161928.79380693604</v>
      </c>
      <c r="AC8" s="4">
        <f t="shared" ref="AC8:AE8" si="17">AC5-AC7-AC6</f>
        <v>168427.13063398277</v>
      </c>
      <c r="AD8" s="4">
        <f t="shared" si="17"/>
        <v>176826.50949919311</v>
      </c>
      <c r="AE8" s="4">
        <f t="shared" si="17"/>
        <v>185511.33537982166</v>
      </c>
      <c r="AF8" s="4">
        <f t="shared" ref="AF8" si="18">AF5-AF7-AF6</f>
        <v>190780.27963522915</v>
      </c>
      <c r="AG8" s="4">
        <f t="shared" ref="AG8:AN8" si="19">AG5-AG7-AG6</f>
        <v>196067.77502417471</v>
      </c>
      <c r="AH8" s="4">
        <f t="shared" si="19"/>
        <v>201374.34844108362</v>
      </c>
      <c r="AI8" s="4">
        <f t="shared" si="19"/>
        <v>206700.52863549508</v>
      </c>
      <c r="AJ8" s="4">
        <f t="shared" si="19"/>
        <v>212046.84626475058</v>
      </c>
      <c r="AK8" s="4">
        <f t="shared" si="19"/>
        <v>217413.83394686965</v>
      </c>
      <c r="AL8" s="4">
        <f t="shared" si="19"/>
        <v>222802.02631361524</v>
      </c>
      <c r="AM8" s="4">
        <f t="shared" si="19"/>
        <v>228211.96006375545</v>
      </c>
      <c r="AN8" s="4">
        <f t="shared" si="19"/>
        <v>233644.17401652696</v>
      </c>
    </row>
    <row r="9" spans="1:40" x14ac:dyDescent="0.25">
      <c r="A9" s="13"/>
      <c r="B9" t="s">
        <v>61</v>
      </c>
      <c r="C9" s="2">
        <v>2</v>
      </c>
      <c r="D9" s="2">
        <v>5</v>
      </c>
      <c r="E9" s="2">
        <v>558</v>
      </c>
      <c r="F9" s="2">
        <v>-377</v>
      </c>
      <c r="G9" s="2">
        <v>23</v>
      </c>
      <c r="H9" s="2">
        <v>15</v>
      </c>
      <c r="I9" s="2">
        <v>37</v>
      </c>
      <c r="J9" s="2">
        <v>123</v>
      </c>
      <c r="K9" s="2">
        <v>28</v>
      </c>
      <c r="L9" s="2">
        <v>178</v>
      </c>
      <c r="M9" s="2">
        <v>-5</v>
      </c>
      <c r="N9" s="2">
        <v>-114</v>
      </c>
      <c r="O9" s="2">
        <v>111</v>
      </c>
      <c r="P9" s="2">
        <v>89</v>
      </c>
      <c r="Q9" s="2">
        <f>M9*1.05</f>
        <v>-5.25</v>
      </c>
      <c r="R9" s="2">
        <f>N9*1.05</f>
        <v>-119.7</v>
      </c>
      <c r="T9" s="2">
        <v>102</v>
      </c>
      <c r="U9" s="2">
        <f>SUM(C9:F9)</f>
        <v>188</v>
      </c>
      <c r="V9" s="2">
        <f>SUM(G9:J9)</f>
        <v>198</v>
      </c>
      <c r="W9" s="2">
        <f>SUM(K9:N9)</f>
        <v>87</v>
      </c>
      <c r="X9" s="2">
        <f>SUM(O9:R9)</f>
        <v>75.05</v>
      </c>
      <c r="Y9" s="2">
        <f t="shared" ref="Y9:AN9" si="20">X9*1.1</f>
        <v>82.555000000000007</v>
      </c>
      <c r="Z9" s="2">
        <f t="shared" si="20"/>
        <v>90.810500000000019</v>
      </c>
      <c r="AA9" s="2">
        <f t="shared" si="20"/>
        <v>99.891550000000024</v>
      </c>
      <c r="AB9" s="2">
        <f t="shared" si="20"/>
        <v>109.88070500000003</v>
      </c>
      <c r="AC9" s="2">
        <f t="shared" si="20"/>
        <v>120.86877550000004</v>
      </c>
      <c r="AD9" s="2">
        <f t="shared" si="20"/>
        <v>132.95565305000005</v>
      </c>
      <c r="AE9" s="2">
        <f t="shared" si="20"/>
        <v>146.25121835500008</v>
      </c>
      <c r="AF9" s="2">
        <f t="shared" si="20"/>
        <v>160.87634019050009</v>
      </c>
      <c r="AG9" s="2">
        <f t="shared" si="20"/>
        <v>176.96397420955012</v>
      </c>
      <c r="AH9" s="2">
        <f t="shared" si="20"/>
        <v>194.66037163050515</v>
      </c>
      <c r="AI9" s="2">
        <f t="shared" si="20"/>
        <v>214.1264087935557</v>
      </c>
      <c r="AJ9" s="2">
        <f t="shared" si="20"/>
        <v>235.53904967291129</v>
      </c>
      <c r="AK9" s="2">
        <f t="shared" si="20"/>
        <v>259.09295464020244</v>
      </c>
      <c r="AL9" s="2">
        <f t="shared" si="20"/>
        <v>285.0022501042227</v>
      </c>
      <c r="AM9" s="2">
        <f t="shared" si="20"/>
        <v>313.50247511464499</v>
      </c>
      <c r="AN9" s="2">
        <f t="shared" si="20"/>
        <v>344.85272262610954</v>
      </c>
    </row>
    <row r="10" spans="1:40" x14ac:dyDescent="0.25">
      <c r="B10" t="s">
        <v>58</v>
      </c>
      <c r="C10" s="2">
        <v>0</v>
      </c>
      <c r="D10" s="2">
        <v>3</v>
      </c>
      <c r="E10" s="2">
        <v>-1</v>
      </c>
      <c r="F10" s="2">
        <v>0</v>
      </c>
      <c r="G10" s="2">
        <v>224</v>
      </c>
      <c r="H10" s="2">
        <v>0</v>
      </c>
      <c r="I10" s="2">
        <v>-41</v>
      </c>
      <c r="J10" s="2">
        <v>3</v>
      </c>
      <c r="K10" s="2">
        <v>2</v>
      </c>
      <c r="L10" s="2">
        <v>96</v>
      </c>
      <c r="M10" s="2">
        <v>1</v>
      </c>
      <c r="N10" s="2">
        <v>6</v>
      </c>
      <c r="O10" s="2">
        <v>2</v>
      </c>
      <c r="P10" s="2">
        <v>1</v>
      </c>
      <c r="Q10" s="2">
        <v>1</v>
      </c>
      <c r="R10" s="2">
        <v>1</v>
      </c>
      <c r="T10" s="2">
        <v>4</v>
      </c>
      <c r="U10" s="2">
        <f>SUM(C10:F10)</f>
        <v>2</v>
      </c>
      <c r="V10" s="2">
        <f>SUM(G10:J10)</f>
        <v>186</v>
      </c>
      <c r="W10" s="2">
        <f>SUM(K10:N10)</f>
        <v>105</v>
      </c>
      <c r="X10" s="2">
        <f>SUM(O10:R10)</f>
        <v>5</v>
      </c>
      <c r="Y10" s="2">
        <f t="shared" ref="Y10:AN10" si="21">X10*1.1</f>
        <v>5.5</v>
      </c>
      <c r="Z10" s="2">
        <f t="shared" si="21"/>
        <v>6.0500000000000007</v>
      </c>
      <c r="AA10" s="2">
        <f t="shared" si="21"/>
        <v>6.6550000000000011</v>
      </c>
      <c r="AB10" s="2">
        <f t="shared" si="21"/>
        <v>7.3205000000000018</v>
      </c>
      <c r="AC10" s="2">
        <f t="shared" si="21"/>
        <v>8.0525500000000019</v>
      </c>
      <c r="AD10" s="2">
        <f t="shared" si="21"/>
        <v>8.8578050000000026</v>
      </c>
      <c r="AE10" s="2">
        <f t="shared" si="21"/>
        <v>9.7435855000000036</v>
      </c>
      <c r="AF10" s="2">
        <f t="shared" si="21"/>
        <v>10.717944050000005</v>
      </c>
      <c r="AG10" s="2">
        <f t="shared" si="21"/>
        <v>11.789738455000007</v>
      </c>
      <c r="AH10" s="2">
        <f t="shared" si="21"/>
        <v>12.968712300500009</v>
      </c>
      <c r="AI10" s="2">
        <f t="shared" si="21"/>
        <v>14.26558353055001</v>
      </c>
      <c r="AJ10" s="2">
        <f t="shared" si="21"/>
        <v>15.692141883605013</v>
      </c>
      <c r="AK10" s="2">
        <f t="shared" si="21"/>
        <v>17.261356071965515</v>
      </c>
      <c r="AL10" s="2">
        <f t="shared" si="21"/>
        <v>18.987491679162069</v>
      </c>
      <c r="AM10" s="2">
        <f t="shared" si="21"/>
        <v>20.886240847078277</v>
      </c>
      <c r="AN10" s="2">
        <f t="shared" si="21"/>
        <v>22.974864931786108</v>
      </c>
    </row>
    <row r="11" spans="1:40" x14ac:dyDescent="0.25">
      <c r="A11" s="13"/>
      <c r="B11" t="s">
        <v>59</v>
      </c>
      <c r="C11" s="2">
        <v>-1</v>
      </c>
      <c r="D11" s="2">
        <v>-2</v>
      </c>
      <c r="E11" s="2">
        <v>-4</v>
      </c>
      <c r="F11" s="2">
        <v>-43</v>
      </c>
      <c r="G11" s="2">
        <v>-37</v>
      </c>
      <c r="H11" s="2">
        <v>-27</v>
      </c>
      <c r="I11" s="2">
        <v>-312</v>
      </c>
      <c r="J11" s="2">
        <v>116</v>
      </c>
      <c r="K11" s="2">
        <v>-65</v>
      </c>
      <c r="L11" s="2">
        <v>-44</v>
      </c>
      <c r="M11" s="2">
        <v>-102</v>
      </c>
      <c r="N11" s="2">
        <v>-73</v>
      </c>
      <c r="O11" s="2">
        <v>-74</v>
      </c>
      <c r="P11" s="2">
        <v>-18</v>
      </c>
      <c r="Q11" s="2">
        <f>M11*0.89</f>
        <v>-90.78</v>
      </c>
      <c r="R11" s="2">
        <f>N11*0.89</f>
        <v>-64.97</v>
      </c>
      <c r="T11" s="2">
        <v>-47</v>
      </c>
      <c r="U11" s="2">
        <f>SUM(C11:F11)</f>
        <v>-50</v>
      </c>
      <c r="V11" s="2">
        <f>SUM(G11:J11)</f>
        <v>-260</v>
      </c>
      <c r="W11" s="2">
        <f>SUM(K11:N11)</f>
        <v>-284</v>
      </c>
      <c r="X11" s="2">
        <f>SUM(O11:R11)</f>
        <v>-247.75</v>
      </c>
      <c r="Y11" s="2">
        <f t="shared" ref="Y11:AN11" si="22">X11*0.89</f>
        <v>-220.4975</v>
      </c>
      <c r="Z11" s="2">
        <f t="shared" si="22"/>
        <v>-196.24277499999999</v>
      </c>
      <c r="AA11" s="2">
        <f t="shared" si="22"/>
        <v>-174.65606975</v>
      </c>
      <c r="AB11" s="2">
        <f t="shared" si="22"/>
        <v>-155.44390207750001</v>
      </c>
      <c r="AC11" s="2">
        <f t="shared" si="22"/>
        <v>-138.34507284897501</v>
      </c>
      <c r="AD11" s="2">
        <f t="shared" si="22"/>
        <v>-123.12711483558776</v>
      </c>
      <c r="AE11" s="2">
        <f t="shared" si="22"/>
        <v>-109.5831322036731</v>
      </c>
      <c r="AF11" s="2">
        <f t="shared" si="22"/>
        <v>-97.528987661269056</v>
      </c>
      <c r="AG11" s="2">
        <f t="shared" si="22"/>
        <v>-86.80079901852946</v>
      </c>
      <c r="AH11" s="2">
        <f t="shared" si="22"/>
        <v>-77.252711126491221</v>
      </c>
      <c r="AI11" s="2">
        <f t="shared" si="22"/>
        <v>-68.754912902577189</v>
      </c>
      <c r="AJ11" s="2">
        <f t="shared" si="22"/>
        <v>-61.1918724832937</v>
      </c>
      <c r="AK11" s="2">
        <f t="shared" si="22"/>
        <v>-54.460766510131393</v>
      </c>
      <c r="AL11" s="2">
        <f t="shared" si="22"/>
        <v>-48.470082194016939</v>
      </c>
      <c r="AM11" s="2">
        <f t="shared" si="22"/>
        <v>-43.138373152675079</v>
      </c>
      <c r="AN11" s="2">
        <f t="shared" si="22"/>
        <v>-38.393152105880823</v>
      </c>
    </row>
    <row r="12" spans="1:40" x14ac:dyDescent="0.25">
      <c r="B12" t="s">
        <v>60</v>
      </c>
      <c r="C12" s="2">
        <v>-20</v>
      </c>
      <c r="D12" s="2">
        <v>-31</v>
      </c>
      <c r="E12" s="2">
        <v>-127</v>
      </c>
      <c r="F12" s="2">
        <v>-176</v>
      </c>
      <c r="G12" s="2">
        <v>-194</v>
      </c>
      <c r="H12" s="2">
        <v>-51</v>
      </c>
      <c r="I12" s="2">
        <v>-68</v>
      </c>
      <c r="J12" s="2">
        <v>-613</v>
      </c>
      <c r="K12" s="2">
        <v>-294</v>
      </c>
      <c r="L12" s="2">
        <v>38</v>
      </c>
      <c r="M12" s="2">
        <v>-1110</v>
      </c>
      <c r="N12" s="2">
        <v>-1259</v>
      </c>
      <c r="O12" s="2">
        <v>-429</v>
      </c>
      <c r="P12" s="2">
        <f>-53-116</f>
        <v>-169</v>
      </c>
      <c r="Q12" s="2">
        <f>M12*1.02</f>
        <v>-1132.2</v>
      </c>
      <c r="R12" s="2">
        <f>N12*1.02</f>
        <v>-1284.18</v>
      </c>
      <c r="T12" s="2">
        <v>-641</v>
      </c>
      <c r="U12" s="2">
        <f>SUM(C12:F12)</f>
        <v>-354</v>
      </c>
      <c r="V12" s="2">
        <f>SUM(G12:J12)</f>
        <v>-926</v>
      </c>
      <c r="W12" s="2">
        <f>SUM(K12:N12)</f>
        <v>-2625</v>
      </c>
      <c r="X12" s="2">
        <f>SUM(O12:R12)</f>
        <v>-3014.38</v>
      </c>
      <c r="Y12" s="2">
        <f t="shared" ref="Y12:AN12" si="23">X12*1.1</f>
        <v>-3315.8180000000002</v>
      </c>
      <c r="Z12" s="2">
        <f t="shared" si="23"/>
        <v>-3647.3998000000006</v>
      </c>
      <c r="AA12" s="2">
        <f t="shared" si="23"/>
        <v>-4012.1397800000009</v>
      </c>
      <c r="AB12" s="2">
        <f t="shared" si="23"/>
        <v>-4413.3537580000011</v>
      </c>
      <c r="AC12" s="2">
        <f t="shared" si="23"/>
        <v>-4854.6891338000014</v>
      </c>
      <c r="AD12" s="2">
        <f t="shared" si="23"/>
        <v>-5340.1580471800016</v>
      </c>
      <c r="AE12" s="2">
        <f t="shared" si="23"/>
        <v>-5874.1738518980019</v>
      </c>
      <c r="AF12" s="2">
        <f t="shared" si="23"/>
        <v>-6461.5912370878023</v>
      </c>
      <c r="AG12" s="2">
        <f t="shared" si="23"/>
        <v>-7107.7503607965828</v>
      </c>
      <c r="AH12" s="2">
        <f t="shared" si="23"/>
        <v>-7818.5253968762418</v>
      </c>
      <c r="AI12" s="2">
        <f t="shared" si="23"/>
        <v>-8600.3779365638675</v>
      </c>
      <c r="AJ12" s="2">
        <f t="shared" si="23"/>
        <v>-9460.4157302202548</v>
      </c>
      <c r="AK12" s="2">
        <f t="shared" si="23"/>
        <v>-10406.457303242281</v>
      </c>
      <c r="AL12" s="2">
        <f t="shared" si="23"/>
        <v>-11447.103033566511</v>
      </c>
      <c r="AM12" s="2">
        <f t="shared" si="23"/>
        <v>-12591.813336923164</v>
      </c>
      <c r="AN12" s="2">
        <f t="shared" si="23"/>
        <v>-13850.994670615481</v>
      </c>
    </row>
    <row r="13" spans="1:40" s="3" customFormat="1" x14ac:dyDescent="0.25">
      <c r="A13" s="13" t="s">
        <v>43</v>
      </c>
      <c r="B13" s="3" t="s">
        <v>62</v>
      </c>
      <c r="C13" s="4">
        <f t="shared" ref="C13" si="24">C8+SUM(C9:C12)</f>
        <v>6825</v>
      </c>
      <c r="D13" s="4">
        <f t="shared" ref="D13:E13" si="25">D8+SUM(D9:D12)</f>
        <v>7325</v>
      </c>
      <c r="E13" s="4">
        <f t="shared" si="25"/>
        <v>6173</v>
      </c>
      <c r="F13" s="4">
        <f t="shared" ref="F13:P13" si="26">F8+SUM(F9:F12)</f>
        <v>8028</v>
      </c>
      <c r="G13" s="4">
        <f t="shared" si="26"/>
        <v>6834</v>
      </c>
      <c r="H13" s="4">
        <f t="shared" si="26"/>
        <v>7772</v>
      </c>
      <c r="I13" s="4">
        <f t="shared" si="26"/>
        <v>12656</v>
      </c>
      <c r="J13" s="4">
        <f t="shared" si="26"/>
        <v>15172</v>
      </c>
      <c r="K13" s="4">
        <f t="shared" si="26"/>
        <v>13966</v>
      </c>
      <c r="L13" s="4">
        <f t="shared" si="26"/>
        <v>17156</v>
      </c>
      <c r="M13" s="4">
        <f t="shared" si="26"/>
        <v>18341</v>
      </c>
      <c r="N13" s="4">
        <f t="shared" si="26"/>
        <v>19520</v>
      </c>
      <c r="O13" s="4">
        <f t="shared" si="26"/>
        <v>19212</v>
      </c>
      <c r="P13" s="4">
        <f t="shared" si="26"/>
        <v>22949</v>
      </c>
      <c r="Q13" s="4">
        <f>Q8*0.99</f>
        <v>23929.123679999993</v>
      </c>
      <c r="R13" s="4">
        <f>R8*0.99</f>
        <v>25530.34374</v>
      </c>
      <c r="T13" s="4">
        <f t="shared" ref="T13:Y13" si="27">T8+SUM(T9:T12)</f>
        <v>23264</v>
      </c>
      <c r="U13" s="4">
        <f t="shared" si="27"/>
        <v>28351</v>
      </c>
      <c r="V13" s="4">
        <f t="shared" si="27"/>
        <v>42434</v>
      </c>
      <c r="W13" s="4">
        <f t="shared" si="27"/>
        <v>68983</v>
      </c>
      <c r="X13" s="4">
        <f t="shared" si="27"/>
        <v>89424.978000000017</v>
      </c>
      <c r="Y13" s="4">
        <f t="shared" si="27"/>
        <v>117756.84510000004</v>
      </c>
      <c r="Z13" s="4">
        <f t="shared" ref="Z13" si="28">Z8+SUM(Z9:Z12)</f>
        <v>130932.51380500005</v>
      </c>
      <c r="AA13" s="4">
        <f t="shared" ref="AA13:AB13" si="29">AA8+SUM(AA9:AA12)</f>
        <v>145542.48706305004</v>
      </c>
      <c r="AB13" s="4">
        <f t="shared" si="29"/>
        <v>157477.19735185854</v>
      </c>
      <c r="AC13" s="4">
        <f t="shared" ref="AC13:AE13" si="30">AC8+SUM(AC9:AC12)</f>
        <v>163563.01775283378</v>
      </c>
      <c r="AD13" s="4">
        <f t="shared" si="30"/>
        <v>171505.03779522752</v>
      </c>
      <c r="AE13" s="4">
        <f t="shared" si="30"/>
        <v>179683.57319957498</v>
      </c>
      <c r="AF13" s="4">
        <f t="shared" ref="AF13" si="31">AF8+SUM(AF9:AF12)</f>
        <v>184392.75369472057</v>
      </c>
      <c r="AG13" s="4">
        <f t="shared" ref="AG13:AN13" si="32">AG8+SUM(AG9:AG12)</f>
        <v>189061.97757702414</v>
      </c>
      <c r="AH13" s="4">
        <f t="shared" si="32"/>
        <v>193686.1994170119</v>
      </c>
      <c r="AI13" s="4">
        <f t="shared" si="32"/>
        <v>198259.78777835274</v>
      </c>
      <c r="AJ13" s="4">
        <f t="shared" si="32"/>
        <v>202776.46985360354</v>
      </c>
      <c r="AK13" s="4">
        <f t="shared" si="32"/>
        <v>207229.27018782942</v>
      </c>
      <c r="AL13" s="4">
        <f t="shared" si="32"/>
        <v>211610.4429396381</v>
      </c>
      <c r="AM13" s="4">
        <f t="shared" si="32"/>
        <v>215911.39706964133</v>
      </c>
      <c r="AN13" s="4">
        <f t="shared" si="32"/>
        <v>220122.6137813635</v>
      </c>
    </row>
    <row r="14" spans="1:40" x14ac:dyDescent="0.25">
      <c r="B14" t="s">
        <v>63</v>
      </c>
      <c r="C14" s="2">
        <v>5</v>
      </c>
      <c r="D14" s="2">
        <v>4</v>
      </c>
      <c r="E14" s="2">
        <v>42</v>
      </c>
      <c r="F14" s="2">
        <v>359</v>
      </c>
      <c r="G14" s="2">
        <v>1619</v>
      </c>
      <c r="H14" s="2">
        <v>-800</v>
      </c>
      <c r="I14" s="2">
        <v>129</v>
      </c>
      <c r="J14" s="2">
        <v>197</v>
      </c>
      <c r="K14" s="2">
        <v>703</v>
      </c>
      <c r="L14" s="2">
        <v>6118</v>
      </c>
      <c r="M14" s="2">
        <v>-3840</v>
      </c>
      <c r="N14" s="2">
        <v>19089</v>
      </c>
      <c r="O14" s="2">
        <v>1340</v>
      </c>
      <c r="P14" s="2">
        <v>15</v>
      </c>
      <c r="Q14" s="2">
        <f>M14*0.9</f>
        <v>-3456</v>
      </c>
      <c r="R14" s="2">
        <f>N14*0.3</f>
        <v>5726.7</v>
      </c>
      <c r="T14" s="2">
        <v>179</v>
      </c>
      <c r="U14" s="2">
        <f>SUM(C14:F14)</f>
        <v>410</v>
      </c>
      <c r="V14" s="2">
        <f>SUM(G14:J14)</f>
        <v>1145</v>
      </c>
      <c r="W14" s="2">
        <f>SUM(K14:N14)</f>
        <v>22070</v>
      </c>
      <c r="X14" s="2">
        <f>SUM(O14:R14)</f>
        <v>3625.7</v>
      </c>
      <c r="Y14" s="2">
        <f t="shared" ref="Y14:AN14" si="33">X14*0.5</f>
        <v>1812.85</v>
      </c>
      <c r="Z14" s="2">
        <f t="shared" si="33"/>
        <v>906.42499999999995</v>
      </c>
      <c r="AA14" s="2">
        <f t="shared" si="33"/>
        <v>453.21249999999998</v>
      </c>
      <c r="AB14" s="2">
        <f t="shared" si="33"/>
        <v>226.60624999999999</v>
      </c>
      <c r="AC14" s="2">
        <f t="shared" si="33"/>
        <v>113.30312499999999</v>
      </c>
      <c r="AD14" s="2">
        <f t="shared" si="33"/>
        <v>56.651562499999997</v>
      </c>
      <c r="AE14" s="2">
        <f t="shared" si="33"/>
        <v>28.325781249999999</v>
      </c>
      <c r="AF14" s="2">
        <f t="shared" si="33"/>
        <v>14.162890624999999</v>
      </c>
      <c r="AG14" s="2">
        <f t="shared" si="33"/>
        <v>7.0814453124999996</v>
      </c>
      <c r="AH14" s="2">
        <f t="shared" si="33"/>
        <v>3.5407226562499998</v>
      </c>
      <c r="AI14" s="2">
        <f t="shared" si="33"/>
        <v>1.7703613281249999</v>
      </c>
      <c r="AJ14" s="2">
        <f t="shared" si="33"/>
        <v>0.88518066406249996</v>
      </c>
      <c r="AK14" s="2">
        <f t="shared" si="33"/>
        <v>0.44259033203124998</v>
      </c>
      <c r="AL14" s="2">
        <f t="shared" si="33"/>
        <v>0.22129516601562499</v>
      </c>
      <c r="AM14" s="2">
        <f t="shared" si="33"/>
        <v>0.11064758300781249</v>
      </c>
      <c r="AN14" s="2">
        <f t="shared" si="33"/>
        <v>5.5323791503906247E-2</v>
      </c>
    </row>
    <row r="15" spans="1:40" x14ac:dyDescent="0.25">
      <c r="B15" t="s">
        <v>64</v>
      </c>
      <c r="C15" s="2">
        <v>512</v>
      </c>
      <c r="D15" s="2">
        <v>450</v>
      </c>
      <c r="E15" s="2">
        <v>493</v>
      </c>
      <c r="F15" s="2">
        <v>427</v>
      </c>
      <c r="G15" s="2">
        <v>643</v>
      </c>
      <c r="H15" s="2">
        <v>1452</v>
      </c>
      <c r="I15" s="2">
        <v>7131</v>
      </c>
      <c r="J15" s="2">
        <v>-2075</v>
      </c>
      <c r="K15" s="2">
        <v>2786</v>
      </c>
      <c r="L15" s="2">
        <v>3016</v>
      </c>
      <c r="M15" s="2">
        <v>2956</v>
      </c>
      <c r="N15" s="2">
        <v>3114</v>
      </c>
      <c r="O15" s="2">
        <v>2140</v>
      </c>
      <c r="P15" s="2">
        <v>1942</v>
      </c>
      <c r="Q15" s="2">
        <f>M15*1.03</f>
        <v>3044.6800000000003</v>
      </c>
      <c r="R15" s="2">
        <f>N15*1.03</f>
        <v>3207.42</v>
      </c>
      <c r="T15" s="2">
        <v>1170</v>
      </c>
      <c r="U15" s="2">
        <f>SUM(C15:F15)</f>
        <v>1882</v>
      </c>
      <c r="V15" s="2">
        <f>SUM(G15:J15)</f>
        <v>7151</v>
      </c>
      <c r="W15" s="2">
        <f>SUM(K15:N15)</f>
        <v>11872</v>
      </c>
      <c r="X15" s="2">
        <f>SUM(O15:R15)</f>
        <v>10334.1</v>
      </c>
      <c r="Y15" s="2">
        <f t="shared" ref="Y15:AN15" si="34">X15*1.05</f>
        <v>10850.805</v>
      </c>
      <c r="Z15" s="2">
        <f t="shared" si="34"/>
        <v>11393.34525</v>
      </c>
      <c r="AA15" s="2">
        <f t="shared" si="34"/>
        <v>11963.012512500001</v>
      </c>
      <c r="AB15" s="2">
        <f t="shared" si="34"/>
        <v>12561.163138125003</v>
      </c>
      <c r="AC15" s="2">
        <f t="shared" si="34"/>
        <v>13189.221295031253</v>
      </c>
      <c r="AD15" s="2">
        <f t="shared" si="34"/>
        <v>13848.682359782817</v>
      </c>
      <c r="AE15" s="2">
        <f t="shared" si="34"/>
        <v>14541.116477771959</v>
      </c>
      <c r="AF15" s="2">
        <f t="shared" si="34"/>
        <v>15268.172301660557</v>
      </c>
      <c r="AG15" s="2">
        <f t="shared" si="34"/>
        <v>16031.580916743585</v>
      </c>
      <c r="AH15" s="2">
        <f t="shared" si="34"/>
        <v>16833.159962580765</v>
      </c>
      <c r="AI15" s="2">
        <f t="shared" si="34"/>
        <v>17674.817960709803</v>
      </c>
      <c r="AJ15" s="2">
        <f t="shared" si="34"/>
        <v>18558.558858745295</v>
      </c>
      <c r="AK15" s="2">
        <f t="shared" si="34"/>
        <v>19486.48680168256</v>
      </c>
      <c r="AL15" s="2">
        <f t="shared" si="34"/>
        <v>20460.811141766688</v>
      </c>
      <c r="AM15" s="2">
        <f t="shared" si="34"/>
        <v>21483.851698855022</v>
      </c>
      <c r="AN15" s="2">
        <f t="shared" si="34"/>
        <v>22558.044283797775</v>
      </c>
    </row>
    <row r="16" spans="1:40" x14ac:dyDescent="0.25">
      <c r="B16" t="s">
        <v>68</v>
      </c>
      <c r="C16" s="2">
        <v>-74</v>
      </c>
      <c r="D16" s="2">
        <v>-16</v>
      </c>
      <c r="E16" s="2">
        <v>94</v>
      </c>
      <c r="F16" s="2">
        <v>-105</v>
      </c>
      <c r="G16" s="2">
        <v>167</v>
      </c>
      <c r="H16" s="2">
        <v>53</v>
      </c>
      <c r="I16" s="2">
        <v>144</v>
      </c>
      <c r="J16" s="2">
        <v>676</v>
      </c>
      <c r="K16" s="2">
        <v>-23</v>
      </c>
      <c r="L16" s="2">
        <v>221</v>
      </c>
      <c r="M16" s="2">
        <v>0</v>
      </c>
      <c r="N16" s="2">
        <v>830</v>
      </c>
      <c r="O16" s="2">
        <v>0</v>
      </c>
      <c r="P16" s="2">
        <v>0</v>
      </c>
      <c r="Q16" s="2">
        <f>M16*1.03</f>
        <v>0</v>
      </c>
      <c r="R16" s="2">
        <f>N16*1.03</f>
        <v>854.9</v>
      </c>
      <c r="T16" s="2">
        <v>-187</v>
      </c>
      <c r="U16" s="2">
        <f>SUM(C16:F16)</f>
        <v>-101</v>
      </c>
      <c r="V16" s="2">
        <f>SUM(G16:J16)</f>
        <v>1040</v>
      </c>
      <c r="W16" s="2">
        <f>SUM(K16:N16)</f>
        <v>1028</v>
      </c>
      <c r="X16" s="2">
        <f>SUM(O16:R16)</f>
        <v>854.9</v>
      </c>
      <c r="Y16" s="2">
        <f t="shared" ref="Y16:AN16" si="35">X16*0.99</f>
        <v>846.351</v>
      </c>
      <c r="Z16" s="2">
        <f t="shared" si="35"/>
        <v>837.88748999999996</v>
      </c>
      <c r="AA16" s="2">
        <f t="shared" si="35"/>
        <v>829.50861509999993</v>
      </c>
      <c r="AB16" s="2">
        <f t="shared" si="35"/>
        <v>821.21352894899996</v>
      </c>
      <c r="AC16" s="2">
        <f t="shared" si="35"/>
        <v>813.00139365950997</v>
      </c>
      <c r="AD16" s="2">
        <f t="shared" si="35"/>
        <v>804.87137972291487</v>
      </c>
      <c r="AE16" s="2">
        <f t="shared" si="35"/>
        <v>796.82266592568567</v>
      </c>
      <c r="AF16" s="2">
        <f t="shared" si="35"/>
        <v>788.85443926642881</v>
      </c>
      <c r="AG16" s="2">
        <f t="shared" si="35"/>
        <v>780.96589487376457</v>
      </c>
      <c r="AH16" s="2">
        <f t="shared" si="35"/>
        <v>773.15623592502686</v>
      </c>
      <c r="AI16" s="2">
        <f t="shared" si="35"/>
        <v>765.42467356577663</v>
      </c>
      <c r="AJ16" s="2">
        <f t="shared" si="35"/>
        <v>757.77042683011882</v>
      </c>
      <c r="AK16" s="2">
        <f t="shared" si="35"/>
        <v>750.19272256181762</v>
      </c>
      <c r="AL16" s="2">
        <f t="shared" si="35"/>
        <v>742.69079533619947</v>
      </c>
      <c r="AM16" s="2">
        <f t="shared" si="35"/>
        <v>735.26388738283742</v>
      </c>
      <c r="AN16" s="2">
        <f t="shared" si="35"/>
        <v>727.91124850900906</v>
      </c>
    </row>
    <row r="17" spans="1:212" s="3" customFormat="1" x14ac:dyDescent="0.25">
      <c r="A17" s="13" t="s">
        <v>74</v>
      </c>
      <c r="B17" s="3" t="s">
        <v>65</v>
      </c>
      <c r="C17" s="4">
        <f t="shared" ref="C17" si="36">C13+C14-C15+C16</f>
        <v>6244</v>
      </c>
      <c r="D17" s="4">
        <f t="shared" ref="D17:E17" si="37">D13+D14-D15+D16</f>
        <v>6863</v>
      </c>
      <c r="E17" s="4">
        <f t="shared" si="37"/>
        <v>5816</v>
      </c>
      <c r="F17" s="4">
        <f t="shared" ref="F17:R17" si="38">F13+F14-F15+F16</f>
        <v>7855</v>
      </c>
      <c r="G17" s="4">
        <f t="shared" si="38"/>
        <v>7977</v>
      </c>
      <c r="H17" s="4">
        <f t="shared" si="38"/>
        <v>5573</v>
      </c>
      <c r="I17" s="4">
        <f t="shared" si="38"/>
        <v>5798</v>
      </c>
      <c r="J17" s="4">
        <f t="shared" si="38"/>
        <v>18120</v>
      </c>
      <c r="K17" s="4">
        <f t="shared" si="38"/>
        <v>11860</v>
      </c>
      <c r="L17" s="4">
        <f t="shared" si="38"/>
        <v>20479</v>
      </c>
      <c r="M17" s="4">
        <f t="shared" si="38"/>
        <v>11545</v>
      </c>
      <c r="N17" s="4">
        <f t="shared" si="38"/>
        <v>36325</v>
      </c>
      <c r="O17" s="4">
        <f t="shared" si="38"/>
        <v>18412</v>
      </c>
      <c r="P17" s="4">
        <f t="shared" si="38"/>
        <v>21022</v>
      </c>
      <c r="Q17" s="4">
        <f t="shared" si="38"/>
        <v>17428.443679999993</v>
      </c>
      <c r="R17" s="4">
        <f t="shared" si="38"/>
        <v>28904.523740000004</v>
      </c>
      <c r="T17" s="4">
        <f t="shared" ref="T17:Y17" si="39">T13+T14-T15+T16</f>
        <v>22086</v>
      </c>
      <c r="U17" s="4">
        <f t="shared" si="39"/>
        <v>26778</v>
      </c>
      <c r="V17" s="4">
        <f t="shared" si="39"/>
        <v>37468</v>
      </c>
      <c r="W17" s="4">
        <f t="shared" si="39"/>
        <v>80209</v>
      </c>
      <c r="X17" s="4">
        <f t="shared" si="39"/>
        <v>83571.478000000003</v>
      </c>
      <c r="Y17" s="4">
        <f t="shared" si="39"/>
        <v>109565.24110000004</v>
      </c>
      <c r="Z17" s="4">
        <f t="shared" ref="Z17" si="40">Z13+Z14-Z15+Z16</f>
        <v>121283.48104500004</v>
      </c>
      <c r="AA17" s="4">
        <f t="shared" ref="AA17:AB17" si="41">AA13+AA14-AA15+AA16</f>
        <v>134862.19566565004</v>
      </c>
      <c r="AB17" s="4">
        <f t="shared" si="41"/>
        <v>145963.85399268256</v>
      </c>
      <c r="AC17" s="4">
        <f t="shared" ref="AC17:AE17" si="42">AC13+AC14-AC15+AC16</f>
        <v>151300.10097646204</v>
      </c>
      <c r="AD17" s="4">
        <f t="shared" si="42"/>
        <v>158517.87837766763</v>
      </c>
      <c r="AE17" s="4">
        <f t="shared" si="42"/>
        <v>165967.60516897871</v>
      </c>
      <c r="AF17" s="4">
        <f t="shared" ref="AF17" si="43">AF13+AF14-AF15+AF16</f>
        <v>169927.59872295146</v>
      </c>
      <c r="AG17" s="4">
        <f t="shared" ref="AG17:AN17" si="44">AG13+AG14-AG15+AG16</f>
        <v>173818.44400046684</v>
      </c>
      <c r="AH17" s="4">
        <f t="shared" si="44"/>
        <v>177629.7364130124</v>
      </c>
      <c r="AI17" s="4">
        <f t="shared" si="44"/>
        <v>181352.16485253684</v>
      </c>
      <c r="AJ17" s="4">
        <f t="shared" si="44"/>
        <v>184976.56660235245</v>
      </c>
      <c r="AK17" s="4">
        <f t="shared" si="44"/>
        <v>188493.41869904072</v>
      </c>
      <c r="AL17" s="4">
        <f t="shared" si="44"/>
        <v>191892.54388837362</v>
      </c>
      <c r="AM17" s="4">
        <f t="shared" si="44"/>
        <v>195162.91990575215</v>
      </c>
      <c r="AN17" s="4">
        <f t="shared" si="44"/>
        <v>198292.53606986627</v>
      </c>
    </row>
    <row r="18" spans="1:212" x14ac:dyDescent="0.25">
      <c r="A18" s="13" t="s">
        <v>75</v>
      </c>
      <c r="B18" t="s">
        <v>66</v>
      </c>
      <c r="C18" s="2">
        <v>400</v>
      </c>
      <c r="D18" s="2">
        <v>1205</v>
      </c>
      <c r="E18" s="2">
        <v>1029</v>
      </c>
      <c r="F18" s="2">
        <v>1431</v>
      </c>
      <c r="G18" s="2">
        <v>1403</v>
      </c>
      <c r="H18" s="2">
        <v>754</v>
      </c>
      <c r="I18" s="2">
        <v>1607</v>
      </c>
      <c r="J18" s="2">
        <v>2112</v>
      </c>
      <c r="K18" s="2">
        <v>2308</v>
      </c>
      <c r="L18" s="2">
        <v>2821</v>
      </c>
      <c r="M18" s="2">
        <v>-1153</v>
      </c>
      <c r="N18" s="2">
        <v>5240</v>
      </c>
      <c r="O18" s="2">
        <v>1951</v>
      </c>
      <c r="P18" s="2">
        <v>2688</v>
      </c>
      <c r="Q18" s="2">
        <f>Q17*Q33</f>
        <v>2788.5509887999988</v>
      </c>
      <c r="R18" s="2">
        <f>R17*R33</f>
        <v>4624.7237984000012</v>
      </c>
      <c r="T18" s="2">
        <v>2670</v>
      </c>
      <c r="U18" s="2">
        <f>SUM(C18:F18)</f>
        <v>4065</v>
      </c>
      <c r="V18" s="2">
        <f>SUM(G18:J18)</f>
        <v>5876</v>
      </c>
      <c r="W18" s="2">
        <f>SUM(K18:N18)</f>
        <v>9216</v>
      </c>
      <c r="X18" s="2">
        <f>SUM(O18:R18)</f>
        <v>12052.2747872</v>
      </c>
      <c r="Y18" s="2">
        <f t="shared" ref="Y18:AN18" si="45">Y17*Y33</f>
        <v>17530.438576000008</v>
      </c>
      <c r="Z18" s="2">
        <f t="shared" si="45"/>
        <v>19405.356967200005</v>
      </c>
      <c r="AA18" s="2">
        <f t="shared" si="45"/>
        <v>21577.951306504008</v>
      </c>
      <c r="AB18" s="2">
        <f t="shared" si="45"/>
        <v>23354.21663882921</v>
      </c>
      <c r="AC18" s="2">
        <f t="shared" si="45"/>
        <v>24208.016156233927</v>
      </c>
      <c r="AD18" s="2">
        <f t="shared" si="45"/>
        <v>25362.86054042682</v>
      </c>
      <c r="AE18" s="2">
        <f t="shared" si="45"/>
        <v>26554.816827036593</v>
      </c>
      <c r="AF18" s="2">
        <f t="shared" si="45"/>
        <v>27188.415795672234</v>
      </c>
      <c r="AG18" s="2">
        <f t="shared" si="45"/>
        <v>27810.951040074695</v>
      </c>
      <c r="AH18" s="2">
        <f t="shared" si="45"/>
        <v>28420.757826081986</v>
      </c>
      <c r="AI18" s="2">
        <f t="shared" si="45"/>
        <v>29016.346376405894</v>
      </c>
      <c r="AJ18" s="2">
        <f t="shared" si="45"/>
        <v>29596.250656376393</v>
      </c>
      <c r="AK18" s="2">
        <f t="shared" si="45"/>
        <v>30158.946991846515</v>
      </c>
      <c r="AL18" s="2">
        <f t="shared" si="45"/>
        <v>30702.807022139779</v>
      </c>
      <c r="AM18" s="2">
        <f t="shared" si="45"/>
        <v>31226.067184920343</v>
      </c>
      <c r="AN18" s="2">
        <f t="shared" si="45"/>
        <v>31726.805771178602</v>
      </c>
    </row>
    <row r="19" spans="1:212" s="3" customFormat="1" x14ac:dyDescent="0.25">
      <c r="A19" s="13" t="s">
        <v>76</v>
      </c>
      <c r="B19" s="3" t="s">
        <v>67</v>
      </c>
      <c r="C19" s="4">
        <f t="shared" ref="C19" si="46">C17-C18</f>
        <v>5844</v>
      </c>
      <c r="D19" s="4">
        <f t="shared" ref="D19:E19" si="47">D17-D18</f>
        <v>5658</v>
      </c>
      <c r="E19" s="4">
        <f t="shared" si="47"/>
        <v>4787</v>
      </c>
      <c r="F19" s="4">
        <f t="shared" ref="F19:Q19" si="48">F17-F18</f>
        <v>6424</v>
      </c>
      <c r="G19" s="4">
        <f t="shared" si="48"/>
        <v>6574</v>
      </c>
      <c r="H19" s="4">
        <f t="shared" si="48"/>
        <v>4819</v>
      </c>
      <c r="I19" s="4">
        <f t="shared" si="48"/>
        <v>4191</v>
      </c>
      <c r="J19" s="4">
        <f t="shared" si="48"/>
        <v>16008</v>
      </c>
      <c r="K19" s="4">
        <f t="shared" si="48"/>
        <v>9552</v>
      </c>
      <c r="L19" s="4">
        <f t="shared" si="48"/>
        <v>17658</v>
      </c>
      <c r="M19" s="4">
        <f t="shared" si="48"/>
        <v>12698</v>
      </c>
      <c r="N19" s="4">
        <f t="shared" si="48"/>
        <v>31085</v>
      </c>
      <c r="O19" s="4">
        <f t="shared" si="48"/>
        <v>16461</v>
      </c>
      <c r="P19" s="4">
        <f t="shared" si="48"/>
        <v>18334</v>
      </c>
      <c r="Q19" s="4">
        <f t="shared" si="48"/>
        <v>14639.892691199995</v>
      </c>
      <c r="R19" s="4">
        <f t="shared" ref="R19" si="49">R17-R18</f>
        <v>24279.799941600002</v>
      </c>
      <c r="T19" s="4">
        <f t="shared" ref="T19:Y19" si="50">T17-T18</f>
        <v>19416</v>
      </c>
      <c r="U19" s="4">
        <f t="shared" si="50"/>
        <v>22713</v>
      </c>
      <c r="V19" s="4">
        <f t="shared" si="50"/>
        <v>31592</v>
      </c>
      <c r="W19" s="4">
        <f t="shared" si="50"/>
        <v>70993</v>
      </c>
      <c r="X19" s="4">
        <f t="shared" si="50"/>
        <v>71519.203212799999</v>
      </c>
      <c r="Y19" s="4">
        <f t="shared" si="50"/>
        <v>92034.802524000028</v>
      </c>
      <c r="Z19" s="4">
        <f t="shared" ref="Z19" si="51">Z17-Z18</f>
        <v>101878.12407780004</v>
      </c>
      <c r="AA19" s="4">
        <f t="shared" ref="AA19:AB19" si="52">AA17-AA18</f>
        <v>113284.24435914603</v>
      </c>
      <c r="AB19" s="4">
        <f t="shared" si="52"/>
        <v>122609.63735385335</v>
      </c>
      <c r="AC19" s="4">
        <f t="shared" ref="AC19:AE19" si="53">AC17-AC18</f>
        <v>127092.0848202281</v>
      </c>
      <c r="AD19" s="4">
        <f t="shared" si="53"/>
        <v>133155.0178372408</v>
      </c>
      <c r="AE19" s="4">
        <f t="shared" si="53"/>
        <v>139412.78834194213</v>
      </c>
      <c r="AF19" s="4">
        <f t="shared" ref="AF19" si="54">AF17-AF18</f>
        <v>142739.18292727921</v>
      </c>
      <c r="AG19" s="4">
        <f t="shared" ref="AG19:AN19" si="55">AG17-AG18</f>
        <v>146007.49296039215</v>
      </c>
      <c r="AH19" s="4">
        <f t="shared" si="55"/>
        <v>149208.97858693043</v>
      </c>
      <c r="AI19" s="4">
        <f t="shared" si="55"/>
        <v>152335.81847613095</v>
      </c>
      <c r="AJ19" s="4">
        <f t="shared" si="55"/>
        <v>155380.31594597606</v>
      </c>
      <c r="AK19" s="4">
        <f t="shared" si="55"/>
        <v>158334.4717071942</v>
      </c>
      <c r="AL19" s="4">
        <f>AL17-AL18</f>
        <v>161189.73686623384</v>
      </c>
      <c r="AM19" s="4">
        <f t="shared" si="55"/>
        <v>163936.85272083181</v>
      </c>
      <c r="AN19" s="4">
        <f t="shared" si="55"/>
        <v>166565.73029868767</v>
      </c>
      <c r="AO19" s="4">
        <f t="shared" ref="AO19:CS19" si="56">AN19*(1+$R$39)</f>
        <v>164900.07299570079</v>
      </c>
      <c r="AP19" s="4">
        <f t="shared" si="56"/>
        <v>163251.07226574377</v>
      </c>
      <c r="AQ19" s="4">
        <f t="shared" si="56"/>
        <v>161618.56154308634</v>
      </c>
      <c r="AR19" s="4">
        <f t="shared" si="56"/>
        <v>160002.37592765546</v>
      </c>
      <c r="AS19" s="4">
        <f t="shared" si="56"/>
        <v>158402.35216837891</v>
      </c>
      <c r="AT19" s="4">
        <f t="shared" si="56"/>
        <v>156818.32864669512</v>
      </c>
      <c r="AU19" s="4">
        <f t="shared" si="56"/>
        <v>155250.14536022817</v>
      </c>
      <c r="AV19" s="4">
        <f t="shared" si="56"/>
        <v>153697.64390662589</v>
      </c>
      <c r="AW19" s="4">
        <f t="shared" si="56"/>
        <v>152160.66746755963</v>
      </c>
      <c r="AX19" s="4">
        <f t="shared" si="56"/>
        <v>150639.06079288403</v>
      </c>
      <c r="AY19" s="4">
        <f t="shared" si="56"/>
        <v>149132.6701849552</v>
      </c>
      <c r="AZ19" s="4">
        <f t="shared" si="56"/>
        <v>147641.34348310565</v>
      </c>
      <c r="BA19" s="4">
        <f t="shared" si="56"/>
        <v>146164.9300482746</v>
      </c>
      <c r="BB19" s="4">
        <f t="shared" si="56"/>
        <v>144703.28074779187</v>
      </c>
      <c r="BC19" s="4">
        <f t="shared" si="56"/>
        <v>143256.24794031394</v>
      </c>
      <c r="BD19" s="4">
        <f t="shared" si="56"/>
        <v>141823.68546091081</v>
      </c>
      <c r="BE19" s="4">
        <f t="shared" si="56"/>
        <v>140405.44860630171</v>
      </c>
      <c r="BF19" s="4">
        <f t="shared" si="56"/>
        <v>139001.39412023869</v>
      </c>
      <c r="BG19" s="4">
        <f t="shared" si="56"/>
        <v>137611.38017903629</v>
      </c>
      <c r="BH19" s="4">
        <f t="shared" si="56"/>
        <v>136235.26637724592</v>
      </c>
      <c r="BI19" s="4">
        <f t="shared" si="56"/>
        <v>134872.91371347345</v>
      </c>
      <c r="BJ19" s="4">
        <f t="shared" si="56"/>
        <v>133524.18457633871</v>
      </c>
      <c r="BK19" s="4">
        <f t="shared" si="56"/>
        <v>132188.94273057533</v>
      </c>
      <c r="BL19" s="4">
        <f t="shared" si="56"/>
        <v>130867.05330326958</v>
      </c>
      <c r="BM19" s="4">
        <f t="shared" si="56"/>
        <v>129558.38277023689</v>
      </c>
      <c r="BN19" s="4">
        <f t="shared" si="56"/>
        <v>128262.79894253451</v>
      </c>
      <c r="BO19" s="4">
        <f t="shared" si="56"/>
        <v>126980.17095310916</v>
      </c>
      <c r="BP19" s="4">
        <f t="shared" si="56"/>
        <v>125710.36924357807</v>
      </c>
      <c r="BQ19" s="4">
        <f t="shared" si="56"/>
        <v>124453.26555114229</v>
      </c>
      <c r="BR19" s="4">
        <f t="shared" si="56"/>
        <v>123208.73289563086</v>
      </c>
      <c r="BS19" s="4">
        <f t="shared" si="56"/>
        <v>121976.64556667455</v>
      </c>
      <c r="BT19" s="4">
        <f t="shared" si="56"/>
        <v>120756.8791110078</v>
      </c>
      <c r="BU19" s="4">
        <f t="shared" si="56"/>
        <v>119549.31031989772</v>
      </c>
      <c r="BV19" s="4">
        <f t="shared" si="56"/>
        <v>118353.81721669874</v>
      </c>
      <c r="BW19" s="4">
        <f t="shared" si="56"/>
        <v>117170.27904453175</v>
      </c>
      <c r="BX19" s="4">
        <f t="shared" si="56"/>
        <v>115998.57625408644</v>
      </c>
      <c r="BY19" s="4">
        <f t="shared" si="56"/>
        <v>114838.59049154558</v>
      </c>
      <c r="BZ19" s="4">
        <f t="shared" si="56"/>
        <v>113690.20458663012</v>
      </c>
      <c r="CA19" s="4">
        <f t="shared" si="56"/>
        <v>112553.30254076382</v>
      </c>
      <c r="CB19" s="4">
        <f t="shared" si="56"/>
        <v>111427.76951535618</v>
      </c>
      <c r="CC19" s="4">
        <f t="shared" si="56"/>
        <v>110313.49182020262</v>
      </c>
      <c r="CD19" s="4">
        <f t="shared" si="56"/>
        <v>109210.3569020006</v>
      </c>
      <c r="CE19" s="4">
        <f t="shared" si="56"/>
        <v>108118.25333298059</v>
      </c>
      <c r="CF19" s="4">
        <f t="shared" si="56"/>
        <v>107037.07079965078</v>
      </c>
      <c r="CG19" s="4">
        <f t="shared" si="56"/>
        <v>105966.70009165427</v>
      </c>
      <c r="CH19" s="4">
        <f t="shared" si="56"/>
        <v>104907.03309073774</v>
      </c>
      <c r="CI19" s="4">
        <f t="shared" si="56"/>
        <v>103857.96275983036</v>
      </c>
      <c r="CJ19" s="4">
        <f t="shared" si="56"/>
        <v>102819.38313223206</v>
      </c>
      <c r="CK19" s="4">
        <f t="shared" si="56"/>
        <v>101791.18930090974</v>
      </c>
      <c r="CL19" s="4">
        <f t="shared" si="56"/>
        <v>100773.27740790065</v>
      </c>
      <c r="CM19" s="4">
        <f t="shared" si="56"/>
        <v>99765.544633821642</v>
      </c>
      <c r="CN19" s="4">
        <f t="shared" si="56"/>
        <v>98767.889187483423</v>
      </c>
      <c r="CO19" s="4">
        <f t="shared" si="56"/>
        <v>97780.210295608587</v>
      </c>
      <c r="CP19" s="4">
        <f t="shared" si="56"/>
        <v>96802.408192652496</v>
      </c>
      <c r="CQ19" s="4">
        <f t="shared" si="56"/>
        <v>95834.384110725965</v>
      </c>
      <c r="CR19" s="4">
        <f t="shared" si="56"/>
        <v>94876.040269618708</v>
      </c>
      <c r="CS19" s="4">
        <f t="shared" si="56"/>
        <v>93927.279866922516</v>
      </c>
      <c r="CT19" s="4">
        <f t="shared" ref="CT19:FE19" si="57">CS19*(1+$R$39)</f>
        <v>92988.007068253297</v>
      </c>
      <c r="CU19" s="4">
        <f t="shared" si="57"/>
        <v>92058.126997570769</v>
      </c>
      <c r="CV19" s="4">
        <f t="shared" si="57"/>
        <v>91137.545727595061</v>
      </c>
      <c r="CW19" s="4">
        <f t="shared" si="57"/>
        <v>90226.170270319111</v>
      </c>
      <c r="CX19" s="4">
        <f t="shared" si="57"/>
        <v>89323.908567615916</v>
      </c>
      <c r="CY19" s="4">
        <f t="shared" si="57"/>
        <v>88430.669481939753</v>
      </c>
      <c r="CZ19" s="4">
        <f t="shared" si="57"/>
        <v>87546.36278712035</v>
      </c>
      <c r="DA19" s="4">
        <f t="shared" si="57"/>
        <v>86670.899159249151</v>
      </c>
      <c r="DB19" s="4">
        <f t="shared" si="57"/>
        <v>85804.190167656663</v>
      </c>
      <c r="DC19" s="4">
        <f t="shared" si="57"/>
        <v>84946.148265980097</v>
      </c>
      <c r="DD19" s="4">
        <f t="shared" si="57"/>
        <v>84096.6867833203</v>
      </c>
      <c r="DE19" s="4">
        <f t="shared" si="57"/>
        <v>83255.71991548709</v>
      </c>
      <c r="DF19" s="4">
        <f t="shared" si="57"/>
        <v>82423.162716332212</v>
      </c>
      <c r="DG19" s="4">
        <f t="shared" si="57"/>
        <v>81598.931089168895</v>
      </c>
      <c r="DH19" s="4">
        <f t="shared" si="57"/>
        <v>80782.941778277207</v>
      </c>
      <c r="DI19" s="4">
        <f t="shared" si="57"/>
        <v>79975.11236049443</v>
      </c>
      <c r="DJ19" s="4">
        <f t="shared" si="57"/>
        <v>79175.361236889483</v>
      </c>
      <c r="DK19" s="4">
        <f t="shared" si="57"/>
        <v>78383.607624520591</v>
      </c>
      <c r="DL19" s="4">
        <f t="shared" si="57"/>
        <v>77599.771548275385</v>
      </c>
      <c r="DM19" s="4">
        <f t="shared" si="57"/>
        <v>76823.773832792634</v>
      </c>
      <c r="DN19" s="4">
        <f t="shared" si="57"/>
        <v>76055.536094464711</v>
      </c>
      <c r="DO19" s="4">
        <f t="shared" si="57"/>
        <v>75294.98073352006</v>
      </c>
      <c r="DP19" s="4">
        <f t="shared" si="57"/>
        <v>74542.03092618486</v>
      </c>
      <c r="DQ19" s="4">
        <f t="shared" si="57"/>
        <v>73796.610616923004</v>
      </c>
      <c r="DR19" s="4">
        <f t="shared" si="57"/>
        <v>73058.644510753773</v>
      </c>
      <c r="DS19" s="4">
        <f t="shared" si="57"/>
        <v>72328.058065646241</v>
      </c>
      <c r="DT19" s="4">
        <f t="shared" si="57"/>
        <v>71604.777484989783</v>
      </c>
      <c r="DU19" s="4">
        <f t="shared" si="57"/>
        <v>70888.729710139887</v>
      </c>
      <c r="DV19" s="4">
        <f t="shared" si="57"/>
        <v>70179.842413038481</v>
      </c>
      <c r="DW19" s="4">
        <f t="shared" si="57"/>
        <v>69478.043988908103</v>
      </c>
      <c r="DX19" s="4">
        <f t="shared" si="57"/>
        <v>68783.263549019015</v>
      </c>
      <c r="DY19" s="4">
        <f t="shared" si="57"/>
        <v>68095.43091352882</v>
      </c>
      <c r="DZ19" s="4">
        <f t="shared" si="57"/>
        <v>67414.476604393538</v>
      </c>
      <c r="EA19" s="4">
        <f t="shared" si="57"/>
        <v>66740.331838349608</v>
      </c>
      <c r="EB19" s="4">
        <f t="shared" si="57"/>
        <v>66072.92851996611</v>
      </c>
      <c r="EC19" s="4">
        <f t="shared" si="57"/>
        <v>65412.199234766449</v>
      </c>
      <c r="ED19" s="4">
        <f t="shared" si="57"/>
        <v>64758.077242418782</v>
      </c>
      <c r="EE19" s="4">
        <f t="shared" si="57"/>
        <v>64110.496469994592</v>
      </c>
      <c r="EF19" s="4">
        <f t="shared" si="57"/>
        <v>63469.391505294647</v>
      </c>
      <c r="EG19" s="4">
        <f t="shared" si="57"/>
        <v>62834.697590241696</v>
      </c>
      <c r="EH19" s="4">
        <f t="shared" si="57"/>
        <v>62206.350614339281</v>
      </c>
      <c r="EI19" s="4">
        <f t="shared" si="57"/>
        <v>61584.287108195887</v>
      </c>
      <c r="EJ19" s="4">
        <f t="shared" si="57"/>
        <v>60968.44423711393</v>
      </c>
      <c r="EK19" s="4">
        <f t="shared" si="57"/>
        <v>60358.759794742793</v>
      </c>
      <c r="EL19" s="4">
        <f t="shared" si="57"/>
        <v>59755.172196795364</v>
      </c>
      <c r="EM19" s="4">
        <f t="shared" si="57"/>
        <v>59157.62047482741</v>
      </c>
      <c r="EN19" s="4">
        <f t="shared" si="57"/>
        <v>58566.044270079139</v>
      </c>
      <c r="EO19" s="4">
        <f t="shared" si="57"/>
        <v>57980.383827378348</v>
      </c>
      <c r="EP19" s="4">
        <f t="shared" si="57"/>
        <v>57400.579989104561</v>
      </c>
      <c r="EQ19" s="4">
        <f t="shared" si="57"/>
        <v>56826.574189213512</v>
      </c>
      <c r="ER19" s="4">
        <f t="shared" si="57"/>
        <v>56258.308447321375</v>
      </c>
      <c r="ES19" s="4">
        <f t="shared" si="57"/>
        <v>55695.725362848163</v>
      </c>
      <c r="ET19" s="4">
        <f t="shared" si="57"/>
        <v>55138.76810921968</v>
      </c>
      <c r="EU19" s="4">
        <f t="shared" si="57"/>
        <v>54587.380428127486</v>
      </c>
      <c r="EV19" s="4">
        <f t="shared" si="57"/>
        <v>54041.50662384621</v>
      </c>
      <c r="EW19" s="4">
        <f t="shared" si="57"/>
        <v>53501.091557607746</v>
      </c>
      <c r="EX19" s="4">
        <f t="shared" si="57"/>
        <v>52966.080642031666</v>
      </c>
      <c r="EY19" s="4">
        <f t="shared" si="57"/>
        <v>52436.419835611348</v>
      </c>
      <c r="EZ19" s="4">
        <f t="shared" si="57"/>
        <v>51912.055637255231</v>
      </c>
      <c r="FA19" s="4">
        <f t="shared" si="57"/>
        <v>51392.935080882678</v>
      </c>
      <c r="FB19" s="4">
        <f t="shared" si="57"/>
        <v>50879.005730073848</v>
      </c>
      <c r="FC19" s="4">
        <f t="shared" si="57"/>
        <v>50370.215672773113</v>
      </c>
      <c r="FD19" s="4">
        <f t="shared" si="57"/>
        <v>49866.513516045379</v>
      </c>
      <c r="FE19" s="4">
        <f t="shared" si="57"/>
        <v>49367.848380884927</v>
      </c>
      <c r="FF19" s="4">
        <f t="shared" ref="FF19:HD19" si="58">FE19*(1+$R$39)</f>
        <v>48874.169897076077</v>
      </c>
      <c r="FG19" s="4">
        <f t="shared" si="58"/>
        <v>48385.428198105314</v>
      </c>
      <c r="FH19" s="4">
        <f t="shared" si="58"/>
        <v>47901.57391612426</v>
      </c>
      <c r="FI19" s="4">
        <f t="shared" si="58"/>
        <v>47422.558176963015</v>
      </c>
      <c r="FJ19" s="4">
        <f t="shared" si="58"/>
        <v>46948.332595193388</v>
      </c>
      <c r="FK19" s="4">
        <f t="shared" si="58"/>
        <v>46478.849269241451</v>
      </c>
      <c r="FL19" s="4">
        <f t="shared" si="58"/>
        <v>46014.060776549035</v>
      </c>
      <c r="FM19" s="4">
        <f t="shared" si="58"/>
        <v>45553.920168783545</v>
      </c>
      <c r="FN19" s="4">
        <f t="shared" si="58"/>
        <v>45098.380967095713</v>
      </c>
      <c r="FO19" s="4">
        <f t="shared" si="58"/>
        <v>44647.397157424755</v>
      </c>
      <c r="FP19" s="4">
        <f t="shared" si="58"/>
        <v>44200.923185850508</v>
      </c>
      <c r="FQ19" s="4">
        <f t="shared" si="58"/>
        <v>43758.913953992</v>
      </c>
      <c r="FR19" s="4">
        <f t="shared" si="58"/>
        <v>43321.324814452077</v>
      </c>
      <c r="FS19" s="4">
        <f t="shared" si="58"/>
        <v>42888.111566307554</v>
      </c>
      <c r="FT19" s="4">
        <f t="shared" si="58"/>
        <v>42459.230450644478</v>
      </c>
      <c r="FU19" s="4">
        <f t="shared" si="58"/>
        <v>42034.63814613803</v>
      </c>
      <c r="FV19" s="4">
        <f t="shared" si="58"/>
        <v>41614.291764676651</v>
      </c>
      <c r="FW19" s="4">
        <f t="shared" si="58"/>
        <v>41198.148847029886</v>
      </c>
      <c r="FX19" s="4">
        <f t="shared" si="58"/>
        <v>40786.167358559585</v>
      </c>
      <c r="FY19" s="4">
        <f t="shared" si="58"/>
        <v>40378.305684973988</v>
      </c>
      <c r="FZ19" s="4">
        <f t="shared" si="58"/>
        <v>39974.52262812425</v>
      </c>
      <c r="GA19" s="4">
        <f t="shared" si="58"/>
        <v>39574.777401843006</v>
      </c>
      <c r="GB19" s="4">
        <f t="shared" si="58"/>
        <v>39179.029627824573</v>
      </c>
      <c r="GC19" s="4">
        <f t="shared" si="58"/>
        <v>38787.239331546327</v>
      </c>
      <c r="GD19" s="4">
        <f t="shared" si="58"/>
        <v>38399.366938230865</v>
      </c>
      <c r="GE19" s="4">
        <f t="shared" si="58"/>
        <v>38015.373268848554</v>
      </c>
      <c r="GF19" s="4">
        <f t="shared" si="58"/>
        <v>37635.219536160068</v>
      </c>
      <c r="GG19" s="4">
        <f t="shared" si="58"/>
        <v>37258.867340798468</v>
      </c>
      <c r="GH19" s="4">
        <f t="shared" si="58"/>
        <v>36886.278667390485</v>
      </c>
      <c r="GI19" s="4">
        <f t="shared" si="58"/>
        <v>36517.41588071658</v>
      </c>
      <c r="GJ19" s="4">
        <f t="shared" si="58"/>
        <v>36152.241721909413</v>
      </c>
      <c r="GK19" s="4">
        <f t="shared" si="58"/>
        <v>35790.719304690319</v>
      </c>
      <c r="GL19" s="4">
        <f t="shared" si="58"/>
        <v>35432.812111643419</v>
      </c>
      <c r="GM19" s="4">
        <f t="shared" si="58"/>
        <v>35078.483990526984</v>
      </c>
      <c r="GN19" s="4">
        <f t="shared" si="58"/>
        <v>34727.699150621716</v>
      </c>
      <c r="GO19" s="4">
        <f t="shared" si="58"/>
        <v>34380.4221591155</v>
      </c>
      <c r="GP19" s="4">
        <f t="shared" si="58"/>
        <v>34036.617937524345</v>
      </c>
      <c r="GQ19" s="4">
        <f t="shared" si="58"/>
        <v>33696.251758149097</v>
      </c>
      <c r="GR19" s="4">
        <f t="shared" si="58"/>
        <v>33359.289240567603</v>
      </c>
      <c r="GS19" s="4">
        <f t="shared" si="58"/>
        <v>33025.696348161924</v>
      </c>
      <c r="GT19" s="4">
        <f t="shared" si="58"/>
        <v>32695.439384680303</v>
      </c>
      <c r="GU19" s="4">
        <f t="shared" si="58"/>
        <v>32368.484990833498</v>
      </c>
      <c r="GV19" s="4">
        <f t="shared" si="58"/>
        <v>32044.800140925163</v>
      </c>
      <c r="GW19" s="4">
        <f t="shared" si="58"/>
        <v>31724.352139515911</v>
      </c>
      <c r="GX19" s="4">
        <f t="shared" si="58"/>
        <v>31407.108618120754</v>
      </c>
      <c r="GY19" s="4">
        <f t="shared" si="58"/>
        <v>31093.037531939546</v>
      </c>
      <c r="GZ19" s="4">
        <f t="shared" si="58"/>
        <v>30782.10715662015</v>
      </c>
      <c r="HA19" s="4">
        <f t="shared" si="58"/>
        <v>30474.286085053947</v>
      </c>
      <c r="HB19" s="4">
        <f t="shared" si="58"/>
        <v>30169.543224203408</v>
      </c>
      <c r="HC19" s="4">
        <f t="shared" si="58"/>
        <v>29867.847791961372</v>
      </c>
      <c r="HD19" s="4">
        <f t="shared" si="58"/>
        <v>29569.169314041759</v>
      </c>
    </row>
    <row r="20" spans="1:212" s="5" customFormat="1" x14ac:dyDescent="0.25">
      <c r="A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12" s="5" customFormat="1" x14ac:dyDescent="0.25">
      <c r="A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212" x14ac:dyDescent="0.25">
      <c r="A22" s="13" t="s">
        <v>78</v>
      </c>
      <c r="B22" t="s">
        <v>72</v>
      </c>
      <c r="C22" s="6">
        <f t="shared" ref="C22:D22" si="59">C5/C3</f>
        <v>0.26849784516330027</v>
      </c>
      <c r="D22" s="6">
        <f t="shared" si="59"/>
        <v>0.29527678256042794</v>
      </c>
      <c r="E22" s="6">
        <f t="shared" ref="E22:F22" si="60">E5/E3</f>
        <v>0.30984039551211146</v>
      </c>
      <c r="F22" s="6">
        <f t="shared" si="60"/>
        <v>0.37088719674163273</v>
      </c>
      <c r="G22" s="6">
        <f t="shared" ref="G22:O22" si="61">G5/G3</f>
        <v>0.33169036845507432</v>
      </c>
      <c r="H22" s="6">
        <f t="shared" si="61"/>
        <v>0.39195791759486326</v>
      </c>
      <c r="I22" s="6">
        <f t="shared" si="61"/>
        <v>0.48767429623783215</v>
      </c>
      <c r="J22" s="6">
        <f t="shared" si="61"/>
        <v>0.50755145929339474</v>
      </c>
      <c r="K22" s="6">
        <f t="shared" si="61"/>
        <v>0.53795599962598351</v>
      </c>
      <c r="L22" s="6">
        <f t="shared" si="61"/>
        <v>0.53688701463643207</v>
      </c>
      <c r="M22" s="6">
        <f t="shared" si="61"/>
        <v>0.55700122456669177</v>
      </c>
      <c r="N22" s="6">
        <f t="shared" si="61"/>
        <v>0.51789360224693481</v>
      </c>
      <c r="O22" s="6">
        <f t="shared" si="61"/>
        <v>0.4841729783490169</v>
      </c>
      <c r="P22" s="6">
        <v>0.45</v>
      </c>
      <c r="Q22" s="6">
        <v>0.46</v>
      </c>
      <c r="R22" s="6">
        <v>0.46</v>
      </c>
      <c r="T22" s="6">
        <f>T5/T3</f>
        <v>0.30479008533813629</v>
      </c>
      <c r="U22" s="6">
        <f>U5/U3</f>
        <v>0.31698142734980633</v>
      </c>
      <c r="V22" s="6">
        <f>V5/V3</f>
        <v>0.44458316366905093</v>
      </c>
      <c r="W22" s="6">
        <f>W5/W3</f>
        <v>0.53675561760285972</v>
      </c>
      <c r="X22" s="6">
        <f>X5/X3</f>
        <v>0.46642624680431399</v>
      </c>
      <c r="Y22" s="6">
        <v>0.46</v>
      </c>
      <c r="Z22" s="6">
        <v>0.46</v>
      </c>
      <c r="AA22" s="6">
        <v>0.46</v>
      </c>
      <c r="AB22" s="6">
        <v>0.46</v>
      </c>
      <c r="AC22" s="6">
        <v>0.46</v>
      </c>
      <c r="AD22" s="6">
        <v>0.46</v>
      </c>
      <c r="AE22" s="6">
        <v>0.46</v>
      </c>
      <c r="AF22" s="6">
        <v>0.46</v>
      </c>
      <c r="AG22" s="6">
        <v>0.46</v>
      </c>
      <c r="AH22" s="6">
        <v>0.46</v>
      </c>
      <c r="AI22" s="6">
        <v>0.46</v>
      </c>
      <c r="AJ22" s="6">
        <v>0.46</v>
      </c>
      <c r="AK22" s="6">
        <v>0.46</v>
      </c>
      <c r="AL22" s="6">
        <v>0.46</v>
      </c>
      <c r="AM22" s="6">
        <v>0.46</v>
      </c>
      <c r="AN22" s="6">
        <v>0.46</v>
      </c>
    </row>
    <row r="23" spans="1:212" x14ac:dyDescent="0.25">
      <c r="A23" s="13" t="s">
        <v>100</v>
      </c>
      <c r="B23" t="s">
        <v>73</v>
      </c>
      <c r="C23" s="6">
        <f t="shared" ref="C23:D23" si="62">C8/C3</f>
        <v>0.1776831611194766</v>
      </c>
      <c r="D23" s="6">
        <f t="shared" si="62"/>
        <v>0.18544683857294242</v>
      </c>
      <c r="E23" s="6">
        <f t="shared" ref="E23:F23" si="63">E8/E3</f>
        <v>0.12973790550150124</v>
      </c>
      <c r="F23" s="6">
        <f t="shared" si="63"/>
        <v>0.15271825748184878</v>
      </c>
      <c r="G23" s="6">
        <f t="shared" ref="G23:M23" si="64">G8/G3</f>
        <v>0.13772624434389141</v>
      </c>
      <c r="H23" s="6">
        <f t="shared" si="64"/>
        <v>0.14667066025197029</v>
      </c>
      <c r="I23" s="6">
        <f t="shared" si="64"/>
        <v>0.17153380689292291</v>
      </c>
      <c r="J23" s="6">
        <f t="shared" si="64"/>
        <v>0.19100460829493088</v>
      </c>
      <c r="K23" s="6">
        <f t="shared" si="64"/>
        <v>0.19094879980764864</v>
      </c>
      <c r="L23" s="6">
        <f t="shared" si="64"/>
        <v>0.20823931244528293</v>
      </c>
      <c r="M23" s="6">
        <f t="shared" si="64"/>
        <v>0.23027741145440844</v>
      </c>
      <c r="N23" s="6">
        <f>N13/N3</f>
        <v>0.20230704654513043</v>
      </c>
      <c r="O23" s="6">
        <f>O13/O3</f>
        <v>0.1837273353224696</v>
      </c>
      <c r="P23" s="6">
        <f>P13/P3</f>
        <v>0.19799665245975187</v>
      </c>
      <c r="Q23" s="6">
        <f>Q13/Q3</f>
        <v>0.20125554822908812</v>
      </c>
      <c r="R23" s="6">
        <f>R13/R3</f>
        <v>0.20353753307540035</v>
      </c>
      <c r="T23" s="6">
        <f t="shared" ref="T23:X23" si="65">T13/T3</f>
        <v>0.19952828165873321</v>
      </c>
      <c r="U23" s="6">
        <f t="shared" si="65"/>
        <v>0.15845717894689776</v>
      </c>
      <c r="V23" s="6">
        <f t="shared" si="65"/>
        <v>0.16300832059250608</v>
      </c>
      <c r="W23" s="6">
        <f t="shared" si="65"/>
        <v>0.20446859151631558</v>
      </c>
      <c r="X23" s="6">
        <f t="shared" si="65"/>
        <v>0.19239192325921575</v>
      </c>
      <c r="Y23" s="6">
        <f t="shared" ref="Y23:Z23" si="66">Y13/Y3</f>
        <v>0.21112171726157761</v>
      </c>
      <c r="Z23" s="6">
        <f t="shared" si="66"/>
        <v>0.21340351526457632</v>
      </c>
      <c r="AA23" s="6">
        <f t="shared" ref="AA23:AB23" si="67">AA13/AA3</f>
        <v>0.21565084774658724</v>
      </c>
      <c r="AB23" s="6">
        <f t="shared" si="67"/>
        <v>0.22222338347134638</v>
      </c>
      <c r="AC23" s="6">
        <f t="shared" ref="AC23:AE23" si="68">AC13/AC3</f>
        <v>0.22408870597140265</v>
      </c>
      <c r="AD23" s="6">
        <f t="shared" si="68"/>
        <v>0.22812585569879712</v>
      </c>
      <c r="AE23" s="6">
        <f t="shared" si="68"/>
        <v>0.23204316474083131</v>
      </c>
      <c r="AF23" s="6">
        <f t="shared" ref="AF23:AG23" si="69">AF13/AF3</f>
        <v>0.23576692588748205</v>
      </c>
      <c r="AG23" s="6">
        <f t="shared" si="69"/>
        <v>0.23934361888727407</v>
      </c>
      <c r="AH23" s="6">
        <f t="shared" ref="AH23:AN23" si="70">AH13/AH3</f>
        <v>0.24276996772838852</v>
      </c>
      <c r="AI23" s="6">
        <f t="shared" si="70"/>
        <v>0.24604216871762238</v>
      </c>
      <c r="AJ23" s="6">
        <f t="shared" si="70"/>
        <v>0.24915585301385618</v>
      </c>
      <c r="AK23" s="6">
        <f t="shared" si="70"/>
        <v>0.25210604505319845</v>
      </c>
      <c r="AL23" s="6">
        <f t="shared" si="70"/>
        <v>0.25488711658392993</v>
      </c>
      <c r="AM23" s="6">
        <f t="shared" si="70"/>
        <v>0.25749273599439737</v>
      </c>
      <c r="AN23" s="6">
        <f t="shared" si="70"/>
        <v>0.25991581258007374</v>
      </c>
    </row>
    <row r="24" spans="1:212" x14ac:dyDescent="0.25">
      <c r="A24" s="13" t="s">
        <v>77</v>
      </c>
      <c r="B24" t="s">
        <v>71</v>
      </c>
      <c r="C24" s="6">
        <f t="shared" ref="C24:D24" si="71">C17/C3</f>
        <v>0.16210602835038165</v>
      </c>
      <c r="D24" s="6">
        <f t="shared" si="71"/>
        <v>0.17315940858858556</v>
      </c>
      <c r="E24" s="6">
        <f t="shared" ref="E24:F24" si="72">E17/E3</f>
        <v>0.13129557306363862</v>
      </c>
      <c r="F24" s="6">
        <f t="shared" si="72"/>
        <v>0.13910040729590933</v>
      </c>
      <c r="G24" s="6">
        <f t="shared" ref="G24:P24" si="73">G17/G3</f>
        <v>0.1611384938590821</v>
      </c>
      <c r="H24" s="6">
        <f t="shared" si="73"/>
        <v>0.10432617607967203</v>
      </c>
      <c r="I24" s="6">
        <f t="shared" si="73"/>
        <v>7.626940278873981E-2</v>
      </c>
      <c r="J24" s="6">
        <f t="shared" si="73"/>
        <v>0.22267281105990783</v>
      </c>
      <c r="K24" s="6">
        <f t="shared" si="73"/>
        <v>0.15842271883306841</v>
      </c>
      <c r="L24" s="6">
        <f t="shared" si="73"/>
        <v>0.25251852673892405</v>
      </c>
      <c r="M24" s="6">
        <f t="shared" si="73"/>
        <v>0.13593867746797286</v>
      </c>
      <c r="N24" s="6">
        <f t="shared" si="73"/>
        <v>0.37647558738482906</v>
      </c>
      <c r="O24" s="6">
        <f t="shared" si="73"/>
        <v>0.17607681126157143</v>
      </c>
      <c r="P24" s="6">
        <f t="shared" si="73"/>
        <v>0.18137111107276585</v>
      </c>
      <c r="Q24" s="6">
        <f t="shared" ref="Q24" si="74">Q17/Q3</f>
        <v>0.14658167321563134</v>
      </c>
      <c r="R24" s="6">
        <f t="shared" ref="R24" si="75">R17/R3</f>
        <v>0.23043776913749245</v>
      </c>
      <c r="T24" s="6">
        <f t="shared" ref="T24:X24" si="76">T17/T3</f>
        <v>0.18942493245851022</v>
      </c>
      <c r="U24" s="6">
        <f t="shared" si="76"/>
        <v>0.14966549108814603</v>
      </c>
      <c r="V24" s="6">
        <f t="shared" si="76"/>
        <v>0.1439316528246222</v>
      </c>
      <c r="W24" s="6">
        <f t="shared" si="76"/>
        <v>0.23774294039012736</v>
      </c>
      <c r="X24" s="6">
        <f t="shared" si="76"/>
        <v>0.17979850531285826</v>
      </c>
      <c r="Y24" s="6">
        <f t="shared" ref="Y24:Z24" si="77">Y17/Y3</f>
        <v>0.19643530559575753</v>
      </c>
      <c r="Z24" s="6">
        <f t="shared" si="77"/>
        <v>0.19767680651938435</v>
      </c>
      <c r="AA24" s="6">
        <f t="shared" ref="AA24:AB24" si="78">AA17/AA3</f>
        <v>0.19982582001408652</v>
      </c>
      <c r="AB24" s="6">
        <f t="shared" si="78"/>
        <v>0.20597637019343798</v>
      </c>
      <c r="AC24" s="6">
        <f t="shared" ref="AC24:AE24" si="79">AC17/AC3</f>
        <v>0.20728795730824992</v>
      </c>
      <c r="AD24" s="6">
        <f t="shared" si="79"/>
        <v>0.21085110451180905</v>
      </c>
      <c r="AE24" s="6">
        <f t="shared" si="79"/>
        <v>0.21433037902185745</v>
      </c>
      <c r="AF24" s="6">
        <f t="shared" ref="AF24:AG24" si="80">AF17/AF3</f>
        <v>0.21727159430939696</v>
      </c>
      <c r="AG24" s="6">
        <f t="shared" si="80"/>
        <v>0.22004601850458202</v>
      </c>
      <c r="AH24" s="6">
        <f t="shared" ref="AH24:AN24" si="81">AH17/AH3</f>
        <v>0.2226444914835867</v>
      </c>
      <c r="AI24" s="6">
        <f t="shared" si="81"/>
        <v>0.22505965754305052</v>
      </c>
      <c r="AJ24" s="6">
        <f t="shared" si="81"/>
        <v>0.22728472525760601</v>
      </c>
      <c r="AK24" s="6">
        <f t="shared" si="81"/>
        <v>0.22931282952306911</v>
      </c>
      <c r="AL24" s="6">
        <f t="shared" si="81"/>
        <v>0.23113668931553927</v>
      </c>
      <c r="AM24" s="6">
        <f t="shared" si="81"/>
        <v>0.23274840926983881</v>
      </c>
      <c r="AN24" s="6">
        <f t="shared" si="81"/>
        <v>0.23413934968241965</v>
      </c>
    </row>
    <row r="25" spans="1:212" x14ac:dyDescent="0.25">
      <c r="A25" s="13"/>
    </row>
    <row r="26" spans="1:212" s="3" customFormat="1" x14ac:dyDescent="0.25">
      <c r="A26" s="13" t="s">
        <v>90</v>
      </c>
      <c r="B26" s="3" t="s">
        <v>70</v>
      </c>
      <c r="C26" s="11"/>
      <c r="D26" s="11"/>
      <c r="E26" s="11"/>
      <c r="F26" s="11"/>
      <c r="G26" s="11">
        <f t="shared" ref="G26:N26" si="82">G3/C3-1</f>
        <v>0.28521730100212883</v>
      </c>
      <c r="H26" s="11">
        <f t="shared" si="82"/>
        <v>0.34780743805823278</v>
      </c>
      <c r="I26" s="11">
        <f t="shared" si="82"/>
        <v>0.71614330541571669</v>
      </c>
      <c r="J26" s="11">
        <f>J3/F3-1</f>
        <v>0.44103063573578893</v>
      </c>
      <c r="K26" s="11">
        <f t="shared" si="82"/>
        <v>0.5122616354234002</v>
      </c>
      <c r="L26" s="11">
        <f t="shared" si="82"/>
        <v>0.51816769314288913</v>
      </c>
      <c r="M26" s="11">
        <f t="shared" si="82"/>
        <v>0.11717968955538027</v>
      </c>
      <c r="N26" s="11">
        <f t="shared" si="82"/>
        <v>0.18570814132104463</v>
      </c>
      <c r="O26" s="11">
        <f>O3/K3-1</f>
        <v>0.39679147242295931</v>
      </c>
      <c r="P26" s="11">
        <f>P3/K3-1</f>
        <v>0.54824145439001915</v>
      </c>
      <c r="Q26" s="11">
        <f>Q3/M3-1</f>
        <v>0.39999999999999991</v>
      </c>
      <c r="R26" s="11">
        <f>R3/N3-1</f>
        <v>0.30000000000000004</v>
      </c>
      <c r="T26" s="11"/>
      <c r="U26" s="11">
        <f t="shared" ref="U26:AN26" si="83">U3/T3-1</f>
        <v>0.53453407092928518</v>
      </c>
      <c r="V26" s="11">
        <f t="shared" si="83"/>
        <v>0.45494888748539841</v>
      </c>
      <c r="W26" s="11">
        <f t="shared" si="83"/>
        <v>0.29601871557095549</v>
      </c>
      <c r="X26" s="11">
        <f t="shared" si="83"/>
        <v>0.37770594913109079</v>
      </c>
      <c r="Y26" s="11">
        <f t="shared" si="83"/>
        <v>0.19999999999999996</v>
      </c>
      <c r="Z26" s="11">
        <f t="shared" si="83"/>
        <v>0.10000000000000009</v>
      </c>
      <c r="AA26" s="11">
        <f t="shared" si="83"/>
        <v>0.10000000000000009</v>
      </c>
      <c r="AB26" s="11">
        <f t="shared" si="83"/>
        <v>5.0000000000000044E-2</v>
      </c>
      <c r="AC26" s="11">
        <f t="shared" si="83"/>
        <v>3.0000000000000027E-2</v>
      </c>
      <c r="AD26" s="11">
        <f t="shared" si="83"/>
        <v>3.0000000000000027E-2</v>
      </c>
      <c r="AE26" s="11">
        <f t="shared" si="83"/>
        <v>3.0000000000000027E-2</v>
      </c>
      <c r="AF26" s="11">
        <f t="shared" si="83"/>
        <v>1.0000000000000009E-2</v>
      </c>
      <c r="AG26" s="11">
        <f t="shared" si="83"/>
        <v>1.0000000000000009E-2</v>
      </c>
      <c r="AH26" s="11">
        <f t="shared" si="83"/>
        <v>1.0000000000000009E-2</v>
      </c>
      <c r="AI26" s="11">
        <f t="shared" si="83"/>
        <v>1.0000000000000009E-2</v>
      </c>
      <c r="AJ26" s="11">
        <f t="shared" si="83"/>
        <v>1.0000000000000009E-2</v>
      </c>
      <c r="AK26" s="11">
        <f t="shared" si="83"/>
        <v>1.0000000000000009E-2</v>
      </c>
      <c r="AL26" s="11">
        <f t="shared" si="83"/>
        <v>1.0000000000000009E-2</v>
      </c>
      <c r="AM26" s="11">
        <f t="shared" si="83"/>
        <v>1.0000000000000009E-2</v>
      </c>
      <c r="AN26" s="11">
        <f t="shared" si="83"/>
        <v>1.0000000000000009E-2</v>
      </c>
    </row>
    <row r="27" spans="1:212" s="5" customFormat="1" x14ac:dyDescent="0.25">
      <c r="A27" s="13" t="s">
        <v>93</v>
      </c>
      <c r="B27" s="5" t="s">
        <v>94</v>
      </c>
      <c r="C27" s="10"/>
      <c r="D27" s="10"/>
      <c r="E27" s="10"/>
      <c r="F27" s="10"/>
      <c r="G27" s="10">
        <f t="shared" ref="G27:L27" si="84">G13/C13-1</f>
        <v>1.3186813186814028E-3</v>
      </c>
      <c r="H27" s="10">
        <f t="shared" si="84"/>
        <v>6.1023890784982937E-2</v>
      </c>
      <c r="I27" s="10">
        <f t="shared" si="84"/>
        <v>1.0502186943139478</v>
      </c>
      <c r="J27" s="10">
        <f t="shared" si="84"/>
        <v>0.88988540109616343</v>
      </c>
      <c r="K27" s="10">
        <f t="shared" si="84"/>
        <v>1.0436055019022534</v>
      </c>
      <c r="L27" s="10">
        <f t="shared" si="84"/>
        <v>1.2074112197632525</v>
      </c>
      <c r="M27" s="10">
        <f t="shared" ref="M27:N27" si="85">M13/I13-1</f>
        <v>0.44919405815423508</v>
      </c>
      <c r="N27" s="10">
        <f t="shared" si="85"/>
        <v>0.28658054310572112</v>
      </c>
      <c r="O27" s="10">
        <f>O13/K13-1</f>
        <v>0.37562652155234133</v>
      </c>
      <c r="P27" s="10">
        <f>P13/K13-1</f>
        <v>0.64320492624946302</v>
      </c>
      <c r="Q27" s="10">
        <f>Q13/M13-1</f>
        <v>0.30467933482361875</v>
      </c>
      <c r="R27" s="10">
        <f>R13/N13-1</f>
        <v>0.30790695389344269</v>
      </c>
      <c r="T27" s="10"/>
      <c r="U27" s="10">
        <f t="shared" ref="U27:AN27" si="86">U13/T13-1</f>
        <v>0.21866403026134806</v>
      </c>
      <c r="V27" s="10">
        <f t="shared" si="86"/>
        <v>0.49673732848929486</v>
      </c>
      <c r="W27" s="10">
        <f t="shared" si="86"/>
        <v>0.62565395673280855</v>
      </c>
      <c r="X27" s="10">
        <f t="shared" si="86"/>
        <v>0.2963335604424282</v>
      </c>
      <c r="Y27" s="10">
        <f t="shared" si="86"/>
        <v>0.31682274610120698</v>
      </c>
      <c r="Z27" s="10">
        <f t="shared" si="86"/>
        <v>0.11188877125411389</v>
      </c>
      <c r="AA27" s="10">
        <f t="shared" si="86"/>
        <v>0.11158399723241286</v>
      </c>
      <c r="AB27" s="10">
        <f t="shared" si="86"/>
        <v>8.200155521348429E-2</v>
      </c>
      <c r="AC27" s="10">
        <f t="shared" si="86"/>
        <v>3.864572460848037E-2</v>
      </c>
      <c r="AD27" s="10">
        <f t="shared" si="86"/>
        <v>4.8556331079652848E-2</v>
      </c>
      <c r="AE27" s="10">
        <f t="shared" si="86"/>
        <v>4.7686852290090842E-2</v>
      </c>
      <c r="AF27" s="10">
        <f t="shared" si="86"/>
        <v>2.6208185930914674E-2</v>
      </c>
      <c r="AG27" s="10">
        <f t="shared" si="86"/>
        <v>2.5322165805028884E-2</v>
      </c>
      <c r="AH27" s="10">
        <f t="shared" si="86"/>
        <v>2.4458761614845725E-2</v>
      </c>
      <c r="AI27" s="10">
        <f t="shared" si="86"/>
        <v>2.3613393081733047E-2</v>
      </c>
      <c r="AJ27" s="10">
        <f t="shared" si="86"/>
        <v>2.278163477255557E-2</v>
      </c>
      <c r="AK27" s="10">
        <f t="shared" si="86"/>
        <v>2.1959156984242778E-2</v>
      </c>
      <c r="AL27" s="10">
        <f t="shared" si="86"/>
        <v>2.1141669551978159E-2</v>
      </c>
      <c r="AM27" s="10">
        <f t="shared" si="86"/>
        <v>2.0324867101337185E-2</v>
      </c>
      <c r="AN27" s="10">
        <f t="shared" si="86"/>
        <v>1.9504374335384655E-2</v>
      </c>
    </row>
    <row r="28" spans="1:212" s="5" customFormat="1" x14ac:dyDescent="0.25">
      <c r="A28" s="13" t="s">
        <v>91</v>
      </c>
      <c r="B28" s="5" t="s">
        <v>92</v>
      </c>
      <c r="C28" s="10"/>
      <c r="D28" s="10"/>
      <c r="E28" s="10"/>
      <c r="F28" s="10"/>
      <c r="G28" s="10">
        <f t="shared" ref="G28" si="87">G17/C17-1</f>
        <v>0.27754644458680322</v>
      </c>
      <c r="H28" s="10">
        <f t="shared" ref="H28" si="88">H17/D17-1</f>
        <v>-0.1879644470348244</v>
      </c>
      <c r="I28" s="10">
        <f t="shared" ref="I28:J28" si="89">I17/E17-1</f>
        <v>-3.0949105914718222E-3</v>
      </c>
      <c r="J28" s="10">
        <f t="shared" si="89"/>
        <v>1.306810948440484</v>
      </c>
      <c r="K28" s="10">
        <f t="shared" ref="K28" si="90">K17/G17-1</f>
        <v>0.48677447662028328</v>
      </c>
      <c r="L28" s="10">
        <f t="shared" ref="L28" si="91">L17/H17-1</f>
        <v>2.6746815000897182</v>
      </c>
      <c r="M28" s="10">
        <f>M17/I17-1</f>
        <v>0.99120386340117284</v>
      </c>
      <c r="N28" s="10">
        <f t="shared" ref="N28" si="92">N17/J17-1</f>
        <v>1.0046909492273732</v>
      </c>
      <c r="O28" s="10">
        <f>O17/K17-1</f>
        <v>0.55244519392917368</v>
      </c>
      <c r="P28" s="10">
        <f>P17/K17-1</f>
        <v>0.77251264755480609</v>
      </c>
      <c r="Q28" s="10">
        <f>Q17/M17-1</f>
        <v>0.50960967345171015</v>
      </c>
      <c r="R28" s="10">
        <f>R17/N17-1</f>
        <v>-0.20428014480385392</v>
      </c>
      <c r="T28" s="10"/>
      <c r="U28" s="10">
        <f t="shared" ref="U28:AN28" si="93">U17/T17-1</f>
        <v>0.21244227112197778</v>
      </c>
      <c r="V28" s="10">
        <f t="shared" si="93"/>
        <v>0.39920830532526708</v>
      </c>
      <c r="W28" s="10">
        <f t="shared" si="93"/>
        <v>1.1407334258567312</v>
      </c>
      <c r="X28" s="10">
        <f t="shared" si="93"/>
        <v>4.1921455198294488E-2</v>
      </c>
      <c r="Y28" s="10">
        <f t="shared" si="93"/>
        <v>0.31103629757511331</v>
      </c>
      <c r="Z28" s="10">
        <f t="shared" si="93"/>
        <v>0.10695216683094566</v>
      </c>
      <c r="AA28" s="10">
        <f t="shared" si="93"/>
        <v>0.11195848357627414</v>
      </c>
      <c r="AB28" s="10">
        <f t="shared" si="93"/>
        <v>8.231853465114658E-2</v>
      </c>
      <c r="AC28" s="10">
        <f t="shared" si="93"/>
        <v>3.6558687906712795E-2</v>
      </c>
      <c r="AD28" s="10">
        <f t="shared" si="93"/>
        <v>4.7705040212289607E-2</v>
      </c>
      <c r="AE28" s="10">
        <f t="shared" si="93"/>
        <v>4.6996129821786914E-2</v>
      </c>
      <c r="AF28" s="10">
        <f t="shared" si="93"/>
        <v>2.3860039131979427E-2</v>
      </c>
      <c r="AG28" s="10">
        <f t="shared" si="93"/>
        <v>2.289707679480002E-2</v>
      </c>
      <c r="AH28" s="10">
        <f t="shared" si="93"/>
        <v>2.1926858420935558E-2</v>
      </c>
      <c r="AI28" s="10">
        <f t="shared" si="93"/>
        <v>2.0956110810575579E-2</v>
      </c>
      <c r="AJ28" s="10">
        <f t="shared" si="93"/>
        <v>1.9985434156591042E-2</v>
      </c>
      <c r="AK28" s="10">
        <f t="shared" si="93"/>
        <v>1.9012419579873097E-2</v>
      </c>
      <c r="AL28" s="10">
        <f t="shared" si="93"/>
        <v>1.8033123982753585E-2</v>
      </c>
      <c r="AM28" s="10">
        <f t="shared" si="93"/>
        <v>1.7042746690986377E-2</v>
      </c>
      <c r="AN28" s="10">
        <f t="shared" si="93"/>
        <v>1.6035915867755435E-2</v>
      </c>
    </row>
    <row r="29" spans="1:212" s="5" customFormat="1" x14ac:dyDescent="0.25">
      <c r="A29" s="13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212" s="5" customFormat="1" x14ac:dyDescent="0.25">
      <c r="A30" s="13"/>
      <c r="B30" s="5" t="s">
        <v>110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>
        <f t="shared" ref="M30:N31" si="94">M6/I6-1</f>
        <v>8.0634920634920615E-2</v>
      </c>
      <c r="N30" s="10">
        <f t="shared" si="94"/>
        <v>0.30958781362007159</v>
      </c>
      <c r="O30" s="10">
        <f>O6/K6-1</f>
        <v>0.10931761067079071</v>
      </c>
      <c r="P30" s="10">
        <f>P6/K6-1</f>
        <v>0.12826213029190026</v>
      </c>
      <c r="Q30" s="10">
        <f>Q6/M6-1</f>
        <v>0.10000000000000009</v>
      </c>
      <c r="R30" s="10">
        <f>R6/N6-1</f>
        <v>0.10000000000000009</v>
      </c>
      <c r="T30" s="10"/>
      <c r="U30" s="10"/>
      <c r="V30" s="10"/>
      <c r="W30" s="10">
        <f t="shared" ref="W30:AN30" si="95">W6/V6-1</f>
        <v>0.81761704928824153</v>
      </c>
      <c r="X30" s="10">
        <f t="shared" si="95"/>
        <v>0.11176350754883546</v>
      </c>
      <c r="Y30" s="10">
        <f t="shared" si="95"/>
        <v>9.000000000000008E-2</v>
      </c>
      <c r="Z30" s="10">
        <f t="shared" si="95"/>
        <v>9.000000000000008E-2</v>
      </c>
      <c r="AA30" s="10">
        <f t="shared" si="95"/>
        <v>9.000000000000008E-2</v>
      </c>
      <c r="AB30" s="10">
        <f t="shared" si="95"/>
        <v>2.0000000000000018E-2</v>
      </c>
      <c r="AC30" s="10">
        <f t="shared" si="95"/>
        <v>2.0000000000000018E-2</v>
      </c>
      <c r="AD30" s="10">
        <f t="shared" si="95"/>
        <v>1.0000000000000009E-2</v>
      </c>
      <c r="AE30" s="10">
        <f t="shared" si="95"/>
        <v>1.0000000000000009E-2</v>
      </c>
      <c r="AF30" s="10">
        <f t="shared" si="95"/>
        <v>-1.000000000000012E-2</v>
      </c>
      <c r="AG30" s="10">
        <f t="shared" si="95"/>
        <v>-9.9999999999998979E-3</v>
      </c>
      <c r="AH30" s="10">
        <f t="shared" si="95"/>
        <v>-1.0000000000000009E-2</v>
      </c>
      <c r="AI30" s="10">
        <f t="shared" si="95"/>
        <v>-1.0000000000000009E-2</v>
      </c>
      <c r="AJ30" s="10">
        <f t="shared" si="95"/>
        <v>-1.0000000000000009E-2</v>
      </c>
      <c r="AK30" s="10">
        <f t="shared" si="95"/>
        <v>-1.0000000000000009E-2</v>
      </c>
      <c r="AL30" s="10">
        <f t="shared" si="95"/>
        <v>-9.9999999999998979E-3</v>
      </c>
      <c r="AM30" s="10">
        <f t="shared" si="95"/>
        <v>-1.0000000000000009E-2</v>
      </c>
      <c r="AN30" s="10">
        <f t="shared" si="95"/>
        <v>-1.0000000000000009E-2</v>
      </c>
    </row>
    <row r="31" spans="1:212" s="5" customFormat="1" x14ac:dyDescent="0.25">
      <c r="A31" s="13"/>
      <c r="B31" s="5" t="s">
        <v>111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94"/>
        <v>0.21725092250922518</v>
      </c>
      <c r="N31" s="10">
        <f t="shared" si="94"/>
        <v>2.8934703820331586E-2</v>
      </c>
      <c r="O31" s="10">
        <f>O7/K7-1</f>
        <v>0.25063971340839308</v>
      </c>
      <c r="P31" s="10">
        <f>P7/K7-1</f>
        <v>0.21910184237461627</v>
      </c>
      <c r="Q31" s="10">
        <f>Q7/M7-1</f>
        <v>0.10000000000000009</v>
      </c>
      <c r="R31" s="10">
        <f>R7/N7-1</f>
        <v>0.10000000000000009</v>
      </c>
      <c r="T31" s="10"/>
      <c r="U31" s="10"/>
      <c r="V31" s="10"/>
      <c r="W31" s="10">
        <f t="shared" ref="W31:AN31" si="96">W7/V7-1</f>
        <v>0.35315722852814835</v>
      </c>
      <c r="X31" s="10">
        <f t="shared" si="96"/>
        <v>0.15126821039717853</v>
      </c>
      <c r="Y31" s="10">
        <f t="shared" si="96"/>
        <v>9.000000000000008E-2</v>
      </c>
      <c r="Z31" s="10">
        <f t="shared" si="96"/>
        <v>9.000000000000008E-2</v>
      </c>
      <c r="AA31" s="10">
        <f t="shared" si="96"/>
        <v>9.000000000000008E-2</v>
      </c>
      <c r="AB31" s="10">
        <f t="shared" si="96"/>
        <v>2.0000000000000018E-2</v>
      </c>
      <c r="AC31" s="10">
        <f t="shared" si="96"/>
        <v>2.0000000000000018E-2</v>
      </c>
      <c r="AD31" s="10">
        <f t="shared" si="96"/>
        <v>1.0000000000000009E-2</v>
      </c>
      <c r="AE31" s="10">
        <f t="shared" si="96"/>
        <v>1.0000000000000009E-2</v>
      </c>
      <c r="AF31" s="10">
        <f t="shared" si="96"/>
        <v>-1.0000000000000009E-2</v>
      </c>
      <c r="AG31" s="10">
        <f t="shared" si="96"/>
        <v>-1.0000000000000009E-2</v>
      </c>
      <c r="AH31" s="10">
        <f t="shared" si="96"/>
        <v>-1.000000000000012E-2</v>
      </c>
      <c r="AI31" s="10">
        <f t="shared" si="96"/>
        <v>-1.0000000000000009E-2</v>
      </c>
      <c r="AJ31" s="10">
        <f t="shared" si="96"/>
        <v>-1.0000000000000009E-2</v>
      </c>
      <c r="AK31" s="10">
        <f t="shared" si="96"/>
        <v>-1.0000000000000009E-2</v>
      </c>
      <c r="AL31" s="10">
        <f t="shared" si="96"/>
        <v>-1.0000000000000009E-2</v>
      </c>
      <c r="AM31" s="10">
        <f t="shared" si="96"/>
        <v>-1.0000000000000009E-2</v>
      </c>
      <c r="AN31" s="10">
        <f t="shared" si="96"/>
        <v>-1.0000000000000009E-2</v>
      </c>
    </row>
    <row r="32" spans="1:212" s="5" customFormat="1" x14ac:dyDescent="0.25">
      <c r="A32" s="13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x14ac:dyDescent="0.25">
      <c r="A33" s="13" t="s">
        <v>29</v>
      </c>
      <c r="B33" t="s">
        <v>69</v>
      </c>
      <c r="C33" s="6">
        <f t="shared" ref="C33:D33" si="97">C18/C17</f>
        <v>6.4061499039077513E-2</v>
      </c>
      <c r="D33" s="6">
        <f t="shared" si="97"/>
        <v>0.17557919277283987</v>
      </c>
      <c r="E33" s="6">
        <f t="shared" ref="E33:F33" si="98">E18/E17</f>
        <v>0.17692572214580468</v>
      </c>
      <c r="F33" s="6">
        <f t="shared" si="98"/>
        <v>0.18217695735200509</v>
      </c>
      <c r="G33" s="6">
        <f t="shared" ref="G33:O33" si="99">G18/G17</f>
        <v>0.17588065688855459</v>
      </c>
      <c r="H33" s="6">
        <f t="shared" si="99"/>
        <v>0.13529517315628925</v>
      </c>
      <c r="I33" s="6">
        <f t="shared" si="99"/>
        <v>0.27716453949637804</v>
      </c>
      <c r="J33" s="6">
        <f t="shared" si="99"/>
        <v>0.11655629139072848</v>
      </c>
      <c r="K33" s="6">
        <f t="shared" si="99"/>
        <v>0.19460370994940979</v>
      </c>
      <c r="L33" s="6">
        <f t="shared" si="99"/>
        <v>0.13775086674154011</v>
      </c>
      <c r="M33" s="6">
        <f t="shared" si="99"/>
        <v>-9.9870073624945863E-2</v>
      </c>
      <c r="N33" s="6">
        <f t="shared" si="99"/>
        <v>0.14425326909841707</v>
      </c>
      <c r="O33" s="6">
        <f t="shared" si="99"/>
        <v>0.10596350206387138</v>
      </c>
      <c r="P33" s="6">
        <v>0.16</v>
      </c>
      <c r="Q33" s="6">
        <v>0.16</v>
      </c>
      <c r="R33" s="6">
        <v>0.16</v>
      </c>
      <c r="T33" s="6">
        <f>T18/T17</f>
        <v>0.12089106221135561</v>
      </c>
      <c r="U33" s="6">
        <f>U18/U17</f>
        <v>0.15180371947120772</v>
      </c>
      <c r="V33" s="6">
        <f>V18/V17</f>
        <v>0.15682715917583004</v>
      </c>
      <c r="W33" s="6">
        <f>W18/W17</f>
        <v>0.11489982420925332</v>
      </c>
      <c r="X33" s="6">
        <f>X18/X17</f>
        <v>0.14421516856743877</v>
      </c>
      <c r="Y33" s="6">
        <v>0.16</v>
      </c>
      <c r="Z33" s="6">
        <v>0.16</v>
      </c>
      <c r="AA33" s="6">
        <v>0.16</v>
      </c>
      <c r="AB33" s="6">
        <v>0.16</v>
      </c>
      <c r="AC33" s="6">
        <v>0.16</v>
      </c>
      <c r="AD33" s="6">
        <v>0.16</v>
      </c>
      <c r="AE33" s="6">
        <v>0.16</v>
      </c>
      <c r="AF33" s="6">
        <v>0.16</v>
      </c>
      <c r="AG33" s="6">
        <v>0.16</v>
      </c>
      <c r="AH33" s="6">
        <v>0.16</v>
      </c>
      <c r="AI33" s="6">
        <v>0.16</v>
      </c>
      <c r="AJ33" s="6">
        <v>0.16</v>
      </c>
      <c r="AK33" s="6">
        <v>0.16</v>
      </c>
      <c r="AL33" s="6">
        <v>0.16</v>
      </c>
      <c r="AM33" s="6">
        <v>0.16</v>
      </c>
      <c r="AN33" s="6">
        <v>0.16</v>
      </c>
    </row>
    <row r="37" spans="1:40" x14ac:dyDescent="0.25">
      <c r="Q37" s="6"/>
    </row>
    <row r="38" spans="1:40" x14ac:dyDescent="0.25">
      <c r="B38" s="13" t="s">
        <v>82</v>
      </c>
      <c r="C38" s="13"/>
      <c r="D38" s="13"/>
      <c r="E38" s="13"/>
      <c r="F38" s="13"/>
      <c r="Q38" s="6" t="s">
        <v>101</v>
      </c>
      <c r="R38" s="16">
        <v>7.0000000000000007E-2</v>
      </c>
    </row>
    <row r="39" spans="1:40" x14ac:dyDescent="0.25">
      <c r="B39" t="s">
        <v>79</v>
      </c>
      <c r="H39" s="15"/>
      <c r="M39" s="15">
        <v>4.6356000000000002</v>
      </c>
      <c r="Q39" t="s">
        <v>102</v>
      </c>
      <c r="R39" s="6">
        <v>-0.01</v>
      </c>
    </row>
    <row r="40" spans="1:40" x14ac:dyDescent="0.25">
      <c r="B40" t="s">
        <v>80</v>
      </c>
      <c r="H40" s="15"/>
      <c r="M40" s="15">
        <v>0.19009999999999999</v>
      </c>
      <c r="Q40" s="3" t="s">
        <v>103</v>
      </c>
      <c r="R40" s="4">
        <f>NPV(R38, Y19:HD19)</f>
        <v>1949150.7439472876</v>
      </c>
    </row>
    <row r="41" spans="1:40" x14ac:dyDescent="0.25">
      <c r="B41" t="s">
        <v>81</v>
      </c>
      <c r="H41" s="15"/>
      <c r="M41" s="15">
        <v>4.3696999999999999</v>
      </c>
      <c r="Q41" t="s">
        <v>104</v>
      </c>
      <c r="R41" s="2">
        <f>77-283*1000</f>
        <v>-282923</v>
      </c>
    </row>
    <row r="42" spans="1:40" x14ac:dyDescent="0.25">
      <c r="Q42" s="3" t="s">
        <v>105</v>
      </c>
      <c r="R42" s="4">
        <f>R40-R41</f>
        <v>2232073.7439472876</v>
      </c>
    </row>
    <row r="43" spans="1:40" x14ac:dyDescent="0.25">
      <c r="Q43" t="s">
        <v>2</v>
      </c>
      <c r="R43" s="1">
        <f>22233</f>
        <v>22233</v>
      </c>
    </row>
    <row r="44" spans="1:40" s="5" customFormat="1" x14ac:dyDescent="0.25">
      <c r="Q44" s="5" t="s">
        <v>109</v>
      </c>
      <c r="R44" s="17">
        <f>R42/R43</f>
        <v>100.39462708349245</v>
      </c>
    </row>
    <row r="45" spans="1:40" x14ac:dyDescent="0.25">
      <c r="Q45" t="s">
        <v>106</v>
      </c>
      <c r="R45">
        <v>137.80000000000001</v>
      </c>
    </row>
    <row r="46" spans="1:40" x14ac:dyDescent="0.25">
      <c r="R46" s="11">
        <f>R44/R45-1</f>
        <v>-0.27144682813140464</v>
      </c>
    </row>
  </sheetData>
  <pageMargins left="0.7" right="0.7" top="0.75" bottom="0.75" header="0.3" footer="0.3"/>
  <pageSetup orientation="portrait" r:id="rId1"/>
  <ignoredErrors>
    <ignoredError sqref="V3:W4 V33:W33 V22:W25 W26 U3:U4 U6:U18" formulaRange="1"/>
    <ignoredError sqref="V5:W16 V20:W21 V18:W19 U5" formula="1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0F0C-D9C1-4691-82EF-532F3DD5E41A}">
  <dimension ref="A2:N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RowHeight="14.3" x14ac:dyDescent="0.25"/>
  <cols>
    <col min="1" max="1" width="14" bestFit="1" customWidth="1"/>
    <col min="2" max="2" width="18.875" bestFit="1" customWidth="1"/>
    <col min="3" max="14" width="10.75" customWidth="1"/>
  </cols>
  <sheetData>
    <row r="2" spans="2:1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2:14" x14ac:dyDescent="0.25">
      <c r="B3" t="s">
        <v>20</v>
      </c>
      <c r="G3" s="2">
        <v>74.863</v>
      </c>
      <c r="K3" s="2">
        <v>104.568</v>
      </c>
    </row>
    <row r="4" spans="2:14" x14ac:dyDescent="0.25">
      <c r="B4" t="s">
        <v>21</v>
      </c>
      <c r="G4" s="2">
        <v>34.590000000000003</v>
      </c>
      <c r="K4" s="2">
        <v>53.939</v>
      </c>
    </row>
    <row r="5" spans="2:14" s="3" customFormat="1" x14ac:dyDescent="0.25">
      <c r="B5" s="3" t="s">
        <v>22</v>
      </c>
      <c r="G5" s="9">
        <f>G3-G4</f>
        <v>40.272999999999996</v>
      </c>
      <c r="K5" s="9">
        <f>K3-K4</f>
        <v>50.628999999999998</v>
      </c>
    </row>
    <row r="6" spans="2:14" x14ac:dyDescent="0.25">
      <c r="B6" t="s">
        <v>23</v>
      </c>
      <c r="G6" s="2">
        <v>10.346</v>
      </c>
      <c r="K6" s="2">
        <v>11.477</v>
      </c>
    </row>
    <row r="7" spans="2:14" x14ac:dyDescent="0.25">
      <c r="B7" t="s">
        <v>24</v>
      </c>
      <c r="G7" s="2">
        <v>15.632</v>
      </c>
      <c r="K7" s="2">
        <v>19.55</v>
      </c>
    </row>
    <row r="8" spans="2:14" x14ac:dyDescent="0.25">
      <c r="B8" t="s">
        <v>25</v>
      </c>
      <c r="G8" s="2">
        <f>SUM(G6:G7)</f>
        <v>25.978000000000002</v>
      </c>
      <c r="K8" s="2">
        <f>SUM(K6:K7)</f>
        <v>31.027000000000001</v>
      </c>
    </row>
    <row r="9" spans="2:14" s="3" customFormat="1" x14ac:dyDescent="0.25">
      <c r="B9" s="3" t="s">
        <v>43</v>
      </c>
      <c r="G9" s="4">
        <f>G5-G8</f>
        <v>14.294999999999995</v>
      </c>
      <c r="K9" s="4">
        <f>K5-K8</f>
        <v>19.601999999999997</v>
      </c>
    </row>
    <row r="10" spans="2:14" x14ac:dyDescent="0.25">
      <c r="B10" t="s">
        <v>26</v>
      </c>
      <c r="G10" s="8">
        <f>0.28+2</f>
        <v>2.2800000000000002</v>
      </c>
      <c r="K10" s="8">
        <f>0.111+0.02</f>
        <v>0.13100000000000001</v>
      </c>
    </row>
    <row r="11" spans="2:14" x14ac:dyDescent="0.25">
      <c r="B11" t="s">
        <v>27</v>
      </c>
      <c r="G11" s="8">
        <f>-0.65-0.294</f>
        <v>-0.94399999999999995</v>
      </c>
      <c r="K11" s="8">
        <f>-0.74-0.429</f>
        <v>-1.169</v>
      </c>
    </row>
    <row r="12" spans="2:14" x14ac:dyDescent="0.25">
      <c r="B12" t="s">
        <v>48</v>
      </c>
      <c r="G12" s="8">
        <f>G9+G10+G11</f>
        <v>15.630999999999997</v>
      </c>
      <c r="K12" s="8">
        <f>K9+K10+K11</f>
        <v>18.563999999999997</v>
      </c>
    </row>
    <row r="13" spans="2:14" x14ac:dyDescent="0.25">
      <c r="B13" t="s">
        <v>28</v>
      </c>
      <c r="G13" s="8">
        <v>2.3079999999999998</v>
      </c>
      <c r="K13" s="8">
        <v>1.9510000000000001</v>
      </c>
    </row>
    <row r="14" spans="2:14" s="3" customFormat="1" x14ac:dyDescent="0.25">
      <c r="B14" s="3" t="s">
        <v>30</v>
      </c>
      <c r="G14" s="9">
        <f>G12-G13</f>
        <v>13.322999999999997</v>
      </c>
      <c r="K14" s="9">
        <f>K12-K13</f>
        <v>16.612999999999996</v>
      </c>
    </row>
    <row r="17" spans="1:11" s="3" customFormat="1" x14ac:dyDescent="0.25">
      <c r="B17" s="3" t="s">
        <v>44</v>
      </c>
      <c r="K17" s="11">
        <f>K3/G3-1</f>
        <v>0.39679147242295931</v>
      </c>
    </row>
    <row r="18" spans="1:11" s="5" customFormat="1" x14ac:dyDescent="0.25"/>
    <row r="19" spans="1:11" s="5" customFormat="1" x14ac:dyDescent="0.25">
      <c r="B19" s="5" t="s">
        <v>45</v>
      </c>
      <c r="G19" s="10">
        <f>G5/G3</f>
        <v>0.53795599962598339</v>
      </c>
      <c r="K19" s="10">
        <f>K5/K3</f>
        <v>0.4841729783490169</v>
      </c>
    </row>
    <row r="20" spans="1:11" s="5" customFormat="1" x14ac:dyDescent="0.25">
      <c r="B20" s="5" t="s">
        <v>46</v>
      </c>
      <c r="G20" s="10">
        <f>G9/G3</f>
        <v>0.19094879980764856</v>
      </c>
      <c r="K20" s="10">
        <f>K9/K3</f>
        <v>0.18745696580215743</v>
      </c>
    </row>
    <row r="21" spans="1:11" s="5" customFormat="1" x14ac:dyDescent="0.25">
      <c r="B21" s="5" t="s">
        <v>47</v>
      </c>
      <c r="G21" s="10">
        <f>G14/G3</f>
        <v>0.17796508288473609</v>
      </c>
      <c r="K21" s="10">
        <f>K14/K3</f>
        <v>0.15887269527962661</v>
      </c>
    </row>
    <row r="22" spans="1:11" x14ac:dyDescent="0.25">
      <c r="B22" t="s">
        <v>29</v>
      </c>
      <c r="G22" s="6">
        <f>G13/G12</f>
        <v>0.14765530036465999</v>
      </c>
      <c r="K22" s="6">
        <f>K13/K12</f>
        <v>0.10509588450764924</v>
      </c>
    </row>
    <row r="25" spans="1:11" s="5" customFormat="1" x14ac:dyDescent="0.25">
      <c r="A25" s="7" t="s">
        <v>31</v>
      </c>
    </row>
    <row r="26" spans="1:11" x14ac:dyDescent="0.25">
      <c r="B26" t="s">
        <v>4</v>
      </c>
      <c r="K26" s="2">
        <v>77.385999999999996</v>
      </c>
    </row>
    <row r="27" spans="1:11" x14ac:dyDescent="0.25">
      <c r="B27" s="5" t="s">
        <v>35</v>
      </c>
      <c r="C27" s="5"/>
      <c r="D27" s="5"/>
      <c r="E27" s="5"/>
      <c r="F27" s="5"/>
      <c r="G27" s="5"/>
      <c r="H27" s="5"/>
      <c r="I27" s="5"/>
      <c r="J27" s="5"/>
      <c r="K27" s="2">
        <v>44.896000000000001</v>
      </c>
    </row>
    <row r="28" spans="1:11" x14ac:dyDescent="0.25">
      <c r="B28" t="s">
        <v>36</v>
      </c>
      <c r="K28" s="8">
        <v>3.552</v>
      </c>
    </row>
    <row r="29" spans="1:11" x14ac:dyDescent="0.25">
      <c r="B29" s="5" t="s">
        <v>37</v>
      </c>
      <c r="K29" s="8">
        <v>0.68400000000000005</v>
      </c>
    </row>
    <row r="30" spans="1:11" x14ac:dyDescent="0.25">
      <c r="B30" t="s">
        <v>38</v>
      </c>
      <c r="K30" s="2">
        <v>2.214</v>
      </c>
    </row>
    <row r="31" spans="1:11" s="5" customFormat="1" x14ac:dyDescent="0.25">
      <c r="B31" s="5" t="s">
        <v>32</v>
      </c>
      <c r="K31" s="1">
        <v>435.28199999999998</v>
      </c>
    </row>
    <row r="32" spans="1:11" s="3" customFormat="1" x14ac:dyDescent="0.25">
      <c r="B32" s="3" t="s">
        <v>33</v>
      </c>
      <c r="K32" s="4">
        <f>SUM(K26:K31)</f>
        <v>564.01400000000001</v>
      </c>
    </row>
    <row r="33" spans="2:11" x14ac:dyDescent="0.25">
      <c r="K33" s="2"/>
    </row>
    <row r="34" spans="2:11" x14ac:dyDescent="0.25">
      <c r="B34" t="s">
        <v>39</v>
      </c>
      <c r="K34" s="2">
        <v>103.03100000000001</v>
      </c>
    </row>
    <row r="35" spans="2:11" s="5" customFormat="1" x14ac:dyDescent="0.25">
      <c r="B35" s="5" t="s">
        <v>41</v>
      </c>
      <c r="K35" s="2">
        <v>84.239000000000004</v>
      </c>
    </row>
    <row r="36" spans="2:11" x14ac:dyDescent="0.25">
      <c r="B36" t="s">
        <v>40</v>
      </c>
      <c r="K36" s="2">
        <v>96.061000000000007</v>
      </c>
    </row>
    <row r="37" spans="2:11" s="3" customFormat="1" x14ac:dyDescent="0.25">
      <c r="B37" s="3" t="s">
        <v>42</v>
      </c>
      <c r="K37" s="4">
        <f>SUM(K34:K36)</f>
        <v>283.33100000000002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PL_Model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Dawid Najdzionek</cp:lastModifiedBy>
  <dcterms:created xsi:type="dcterms:W3CDTF">2024-06-30T20:57:49Z</dcterms:created>
  <dcterms:modified xsi:type="dcterms:W3CDTF">2024-09-03T18:53:27Z</dcterms:modified>
</cp:coreProperties>
</file>