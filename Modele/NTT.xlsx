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dawid\OneDrive\Pulpit\Modele\"/>
    </mc:Choice>
  </mc:AlternateContent>
  <xr:revisionPtr revIDLastSave="0" documentId="13_ncr:1_{9D6ADF04-66C1-4B43-8331-CBEF9A5F4B12}" xr6:coauthVersionLast="47" xr6:coauthVersionMax="47" xr10:uidLastSave="{00000000-0000-0000-0000-000000000000}"/>
  <bookViews>
    <workbookView xWindow="-109" yWindow="-109" windowWidth="34995" windowHeight="19060" activeTab="1" xr2:uid="{00000000-000D-0000-FFFF-FFFF00000000}"/>
  </bookViews>
  <sheets>
    <sheet name="Main" sheetId="1" r:id="rId1"/>
    <sheet name="Model" sheetId="2" r:id="rId2"/>
    <sheet name="Sheet1" sheetId="4" r:id="rId3"/>
    <sheet name="Analiza wstepna - BILAN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8" i="2" l="1"/>
  <c r="D68" i="2"/>
  <c r="C68" i="2"/>
  <c r="E70" i="2"/>
  <c r="D70" i="2"/>
  <c r="C70" i="2"/>
  <c r="E69" i="2"/>
  <c r="D69" i="2"/>
  <c r="C69" i="2"/>
  <c r="E62" i="2"/>
  <c r="E53" i="2"/>
  <c r="E48" i="2"/>
  <c r="E45" i="2"/>
  <c r="D62" i="2"/>
  <c r="C62" i="2"/>
  <c r="D53" i="2"/>
  <c r="C53" i="2"/>
  <c r="D48" i="2"/>
  <c r="C48" i="2"/>
  <c r="D45" i="2"/>
  <c r="C45" i="2"/>
  <c r="D37" i="3"/>
  <c r="V14" i="3"/>
  <c r="V12" i="3"/>
  <c r="V9" i="3"/>
  <c r="V7" i="3"/>
  <c r="V5" i="3"/>
  <c r="V4" i="3"/>
  <c r="V3" i="3"/>
  <c r="F29" i="3"/>
  <c r="F28" i="3"/>
  <c r="F27" i="3"/>
  <c r="D28" i="3"/>
  <c r="D27" i="3"/>
  <c r="D29" i="3"/>
  <c r="E29" i="3"/>
  <c r="E28" i="3"/>
  <c r="F21" i="3"/>
  <c r="E21" i="3"/>
  <c r="D21" i="3"/>
  <c r="E27" i="3"/>
  <c r="D25" i="3"/>
  <c r="E25" i="3"/>
  <c r="D24" i="3"/>
  <c r="E24" i="3"/>
  <c r="E23" i="3"/>
  <c r="D23" i="3"/>
  <c r="D22" i="3"/>
  <c r="E22" i="3"/>
  <c r="D19" i="3"/>
  <c r="E19" i="3"/>
  <c r="D20" i="3"/>
  <c r="E20" i="3"/>
  <c r="D15" i="3"/>
  <c r="E15" i="3"/>
  <c r="D14" i="3"/>
  <c r="E14" i="3"/>
  <c r="E12" i="3"/>
  <c r="D12" i="3"/>
  <c r="E11" i="3"/>
  <c r="D11" i="3"/>
  <c r="D9" i="3"/>
  <c r="E10" i="3"/>
  <c r="D10" i="3"/>
  <c r="E9" i="3"/>
  <c r="D6" i="3"/>
  <c r="E6" i="3"/>
  <c r="D5" i="3"/>
  <c r="E5" i="3"/>
  <c r="E4" i="3"/>
  <c r="D4" i="3"/>
  <c r="D3" i="3"/>
  <c r="E3" i="3"/>
  <c r="D2" i="3"/>
  <c r="E2" i="3"/>
  <c r="E16" i="3"/>
  <c r="F12" i="3"/>
  <c r="F25" i="3"/>
  <c r="F24" i="3"/>
  <c r="F23" i="3"/>
  <c r="F22" i="3"/>
  <c r="F20" i="3"/>
  <c r="F19" i="3"/>
  <c r="F16" i="3"/>
  <c r="F15" i="3"/>
  <c r="F14" i="3"/>
  <c r="F11" i="3"/>
  <c r="F10" i="3"/>
  <c r="F9" i="3"/>
  <c r="F8" i="3"/>
  <c r="F7" i="3"/>
  <c r="F6" i="3"/>
  <c r="F2" i="3"/>
  <c r="F5" i="3"/>
  <c r="F4" i="3"/>
  <c r="F3" i="3"/>
  <c r="G16" i="2"/>
  <c r="G14" i="2"/>
  <c r="G12" i="2"/>
  <c r="G11" i="2"/>
  <c r="G9" i="2"/>
  <c r="G8" i="2"/>
  <c r="G7" i="2"/>
  <c r="G6" i="2"/>
  <c r="G4" i="2"/>
  <c r="G3" i="2"/>
  <c r="F16" i="2"/>
  <c r="F14" i="2"/>
  <c r="F12" i="2"/>
  <c r="F11" i="2"/>
  <c r="F9" i="2"/>
  <c r="F8" i="2"/>
  <c r="F7" i="2"/>
  <c r="F6" i="2"/>
  <c r="F4" i="2"/>
  <c r="F3" i="2"/>
  <c r="D23" i="2"/>
  <c r="C5" i="2"/>
  <c r="C10" i="2" s="1"/>
  <c r="E23" i="2"/>
  <c r="D5" i="2"/>
  <c r="D10" i="2" s="1"/>
  <c r="E5" i="2"/>
  <c r="E10" i="2" s="1"/>
  <c r="H7" i="1"/>
  <c r="H6" i="1"/>
  <c r="H8" i="1" s="1"/>
  <c r="H5" i="1"/>
  <c r="G10" i="2" l="1"/>
  <c r="F10" i="2"/>
  <c r="D24" i="2"/>
  <c r="G5" i="2"/>
  <c r="F5" i="2"/>
  <c r="C20" i="2"/>
  <c r="C13" i="2"/>
  <c r="C19" i="2"/>
  <c r="E24" i="2"/>
  <c r="D20" i="2"/>
  <c r="D13" i="2"/>
  <c r="F13" i="2" s="1"/>
  <c r="D19" i="2"/>
  <c r="E20" i="2"/>
  <c r="E13" i="2"/>
  <c r="E19" i="2"/>
  <c r="C15" i="2" l="1"/>
  <c r="C21" i="2" s="1"/>
  <c r="C27" i="2"/>
  <c r="G13" i="2"/>
  <c r="D27" i="2"/>
  <c r="D15" i="2"/>
  <c r="E27" i="2"/>
  <c r="E15" i="2"/>
  <c r="E17" i="2" l="1"/>
  <c r="G15" i="2"/>
  <c r="C17" i="2"/>
  <c r="D25" i="2"/>
  <c r="F15" i="2"/>
  <c r="D21" i="2"/>
  <c r="D17" i="2"/>
  <c r="F17" i="2" s="1"/>
  <c r="E21" i="2"/>
  <c r="E25" i="2"/>
  <c r="G17" i="2" l="1"/>
</calcChain>
</file>

<file path=xl/sharedStrings.xml><?xml version="1.0" encoding="utf-8"?>
<sst xmlns="http://schemas.openxmlformats.org/spreadsheetml/2006/main" count="126" uniqueCount="123">
  <si>
    <t>Akcje</t>
  </si>
  <si>
    <t>Cena</t>
  </si>
  <si>
    <t>MC</t>
  </si>
  <si>
    <t>Cash</t>
  </si>
  <si>
    <t>Debt</t>
  </si>
  <si>
    <t>EV</t>
  </si>
  <si>
    <t>(.tys PLN)</t>
  </si>
  <si>
    <t>Przychody ze sprzedaży</t>
  </si>
  <si>
    <t>Koszt sprzedaży</t>
  </si>
  <si>
    <t>Zysk brutto ze sprzedaży</t>
  </si>
  <si>
    <t>Koszt własny sprzedaży</t>
  </si>
  <si>
    <t>Koszty zarządu</t>
  </si>
  <si>
    <t>Pozostałe koszty operacyjne</t>
  </si>
  <si>
    <t>Pozostałe przychody operacyjne</t>
  </si>
  <si>
    <t>Zysk na działalności operacyjnej</t>
  </si>
  <si>
    <t>Przychody finansowe</t>
  </si>
  <si>
    <t>Koszty finansowe</t>
  </si>
  <si>
    <t>Zysk pretax</t>
  </si>
  <si>
    <t>Podatek</t>
  </si>
  <si>
    <t>Zysk netto</t>
  </si>
  <si>
    <t>Marża operacyjna</t>
  </si>
  <si>
    <t>Marża brutto</t>
  </si>
  <si>
    <t>Marża netto</t>
  </si>
  <si>
    <t>Zmiana przychodów R/R</t>
  </si>
  <si>
    <t>Zysk operacyjny R/R</t>
  </si>
  <si>
    <t>Zysk netto R/R</t>
  </si>
  <si>
    <t>Zysk na akcję (EPS)</t>
  </si>
  <si>
    <t>Liczba akcji</t>
  </si>
  <si>
    <t>Dynamika</t>
  </si>
  <si>
    <t>2022/2021</t>
  </si>
  <si>
    <t>2023/2022</t>
  </si>
  <si>
    <t>Udział aktywów trwałych w aktywach ogółem</t>
  </si>
  <si>
    <t>Aktywa trwałe/aktywa ogółem * 100%</t>
  </si>
  <si>
    <t>Udział aktywów obrotowych w aktywach ogółem</t>
  </si>
  <si>
    <t>Aktywa obrotowe/aktywa ogółem * 100%</t>
  </si>
  <si>
    <t>Udział wartości niematerialnych i prawnych w aktywach ogółem</t>
  </si>
  <si>
    <t>Wartości niematerialne i prawne/aktywa ogółem * 100%</t>
  </si>
  <si>
    <t>Udział rzeczowych aktywów w aktywach ogółem</t>
  </si>
  <si>
    <t>Aktywa rzeczowe/aktywa ogółem * 100%</t>
  </si>
  <si>
    <t>Udział należności długoterminowych w aktywach ogółem</t>
  </si>
  <si>
    <t>Należności długoterminowe/aktywa ogółem * 100%</t>
  </si>
  <si>
    <t>Udział inwestycji długoterminowych w aktywach ogółem</t>
  </si>
  <si>
    <t>Inwestycje długoterminowe/aktywa ogółem * 100%</t>
  </si>
  <si>
    <t>Udział długoterminowych rozliczeń międzyokresowych w aktywach ogółem</t>
  </si>
  <si>
    <t>Długoterminowe rozliczenia międzyokresowe/aktywa ogółem * 100%</t>
  </si>
  <si>
    <t>Udział zapasów w aktywach ogółem</t>
  </si>
  <si>
    <t>Zapasy/aktywa ogółem * 100%</t>
  </si>
  <si>
    <t>Udział należności w aktywach ogółem</t>
  </si>
  <si>
    <t>Należności/aktywa ogółem * 100%</t>
  </si>
  <si>
    <t>Udział inwestycji krótkoterminowych w aktywach ogółem</t>
  </si>
  <si>
    <t>Inwestycje krótkoterminowe/aktywa ogółem * 100%</t>
  </si>
  <si>
    <t>Udział krótkoterminowych rozliczeń międzyokresowych w aktywach ogółem</t>
  </si>
  <si>
    <t>Krótkoterminowe rozliczenia międzyokresowe /aktywa ogółem * 100%</t>
  </si>
  <si>
    <t>Udział zapasów w aktywach obrotowych</t>
  </si>
  <si>
    <t>(Zapasy/aktywa obrotowe) *100%</t>
  </si>
  <si>
    <t>Udział należności w aktywach obrotowych</t>
  </si>
  <si>
    <t>(Należności/aktywa obrotowe) *100%</t>
  </si>
  <si>
    <t>Udział krótkoterminowych inwestycji w aktywach obrotowych</t>
  </si>
  <si>
    <t>(Krótkoterminowe inwestycje/aktywa obrotowe) *100%</t>
  </si>
  <si>
    <t>Udział krótkoterminowych rozliczeń międzyokresowych w aktywach obrotowych</t>
  </si>
  <si>
    <t>(Krótkoterminowe rozliczenia międzyokresowe/aktywa obrotowe) *100%</t>
  </si>
  <si>
    <t>Stopień wyposażenia firmy w kapitał własny</t>
  </si>
  <si>
    <t>(Kapitał własny/pasywa ogółem) *100%</t>
  </si>
  <si>
    <t>Stopień obciążenia firmy zobowiązaniami</t>
  </si>
  <si>
    <t>(Rezerwy i zobowiązania/pasywa ogółem) *100%</t>
  </si>
  <si>
    <t>Stopień wyposażenia firmy w kapitał stały</t>
  </si>
  <si>
    <t>(Kapitał stały/pasywa ogółem) *100%</t>
  </si>
  <si>
    <t>Udział rezerw w pasywach ogółem</t>
  </si>
  <si>
    <t>(Rezerwy na zobowiązania/pasywa ogółem) * 100%</t>
  </si>
  <si>
    <t>Udział zobowiązań długoterminowych w pasywach ogółem</t>
  </si>
  <si>
    <t>(Zobowiązania długoterminowe/pasywa ogółem) * 100%</t>
  </si>
  <si>
    <t>Udział zobowiązań krótkoterminowych w pasywach ogółem</t>
  </si>
  <si>
    <t>Zobowiązania krótkoterminowe/pasywa ogółem) * 100%</t>
  </si>
  <si>
    <t>Udział rozliczeń międzyokresowych w pasywach ogółem</t>
  </si>
  <si>
    <t>Rozliczenia międzyokresowe/pasywa ogółem) * 100%</t>
  </si>
  <si>
    <t>Wzór</t>
  </si>
  <si>
    <t>Pierwszy stopnień pokrycia</t>
  </si>
  <si>
    <t>Drugi stopnień pokrycia</t>
  </si>
  <si>
    <t>Udział kapitału obrotowego w finansowaniu aktywów ogółem</t>
  </si>
  <si>
    <t>Aktywa obrotowe 23</t>
  </si>
  <si>
    <t>Aktywa obrotowe 22</t>
  </si>
  <si>
    <t>Aktywa obrotowe 21</t>
  </si>
  <si>
    <t>Pasywa ogółem 23</t>
  </si>
  <si>
    <t>Pasywa ogółem 22</t>
  </si>
  <si>
    <t>Pasywa ogółem 21</t>
  </si>
  <si>
    <t>Aktywa ogółem 23</t>
  </si>
  <si>
    <t>Aktywa ogółem 22</t>
  </si>
  <si>
    <t>Aktywa ogółem 21</t>
  </si>
  <si>
    <t>Zysk przed opodatkowaniem</t>
  </si>
  <si>
    <t>Zwiększenie salda należności z tytułu dostaw i usług oraz pozostałych należności</t>
  </si>
  <si>
    <t>Zwiększenie stanu zapasów</t>
  </si>
  <si>
    <t>Zwiększenie pozostałych aktywów</t>
  </si>
  <si>
    <t>CFFO</t>
  </si>
  <si>
    <t>Zwiększenie salda zobowiązań z tytułu dostaw i usług oraz pozostałych zobowiązań</t>
  </si>
  <si>
    <t>Zwiększenie stanu RMK i przychodów przyszłych okresów</t>
  </si>
  <si>
    <t>Zwiększenie rezerw</t>
  </si>
  <si>
    <t>Zysk ze sprzedaży o likwidacji AT oraz działalności inwestycyjnej</t>
  </si>
  <si>
    <t>Zysk z tytułu zmiań wartości godziwej pochodnych instrumentów finansowych</t>
  </si>
  <si>
    <t>Amortyzacja aktywów trwałych</t>
  </si>
  <si>
    <t>Wzrost wartości nieruchomości inwestycyjnych i udziału w jednostkach powiązanych</t>
  </si>
  <si>
    <t>Dodatne różnice kursowe netto</t>
  </si>
  <si>
    <t>Środki pienięzne z działalności operacjnej</t>
  </si>
  <si>
    <t>Przepływy pieniężne z działalności</t>
  </si>
  <si>
    <t>Podatek dochodowy</t>
  </si>
  <si>
    <t>Środki pieniężne netto z działalności operacyjnej</t>
  </si>
  <si>
    <t>CFFI</t>
  </si>
  <si>
    <t>Wpływy z kredytów</t>
  </si>
  <si>
    <t>Spłata kredytów</t>
  </si>
  <si>
    <t>Zapłacone odsetki i inne koszty finansowe</t>
  </si>
  <si>
    <t>Wypłacone dywidendy</t>
  </si>
  <si>
    <t>Inne</t>
  </si>
  <si>
    <t>CFFF</t>
  </si>
  <si>
    <t>Płatności za rzeczowe AT</t>
  </si>
  <si>
    <t>Wpływy z tytułu zbycia składników rzeczowych AT</t>
  </si>
  <si>
    <t>Środki pieniężne netto z działal. Inwestycyjnej</t>
  </si>
  <si>
    <t>Środki pieniężne netto z działal. Finansowej</t>
  </si>
  <si>
    <t>Zmiana netto środków pieniężnych i ekwiw.</t>
  </si>
  <si>
    <t>Nabycie akcji własnych</t>
  </si>
  <si>
    <t xml:space="preserve">Środki pieniężne i ich ekwiwalenty na początek roku obrotowego </t>
  </si>
  <si>
    <t xml:space="preserve">Środki pieniężne i ich ekwiwalenty na koniec roku obrotowego </t>
  </si>
  <si>
    <t>Wskaźnik wydajności gotówkowej sprzedaży</t>
  </si>
  <si>
    <t>Wskaźnik wydajności gotówkowej zysku</t>
  </si>
  <si>
    <t>Wskaźnik udziału zysku netto w środkach pieniężnych netto z działalności operacyjnej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</si>
</sst>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" fontId="0" fillId="0" borderId="0" xfId="0" applyNumberFormat="1"/>
    <xf numFmtId="3" fontId="0" fillId="0" borderId="0" xfId="0" applyNumberFormat="1"/>
    <xf numFmtId="0" fontId="1" fillId="0" borderId="0" xfId="0" applyFont="1"/>
    <xf numFmtId="14" fontId="0" fillId="0" borderId="0" xfId="0" applyNumberFormat="1"/>
    <xf numFmtId="0" fontId="2" fillId="0" borderId="0" xfId="0" applyFont="1"/>
    <xf numFmtId="3" fontId="2" fillId="0" borderId="0" xfId="0" applyNumberFormat="1" applyFont="1"/>
    <xf numFmtId="0" fontId="3" fillId="0" borderId="0" xfId="0" applyFont="1"/>
    <xf numFmtId="9" fontId="3" fillId="0" borderId="0" xfId="0" applyNumberFormat="1" applyFont="1"/>
    <xf numFmtId="9" fontId="0" fillId="0" borderId="0" xfId="0" applyNumberFormat="1"/>
    <xf numFmtId="10" fontId="0" fillId="0" borderId="0" xfId="0" applyNumberFormat="1"/>
    <xf numFmtId="3" fontId="3" fillId="0" borderId="0" xfId="0" applyNumberFormat="1" applyFont="1"/>
    <xf numFmtId="4" fontId="3" fillId="0" borderId="0" xfId="0" applyNumberFormat="1" applyFont="1"/>
    <xf numFmtId="10" fontId="2" fillId="0" borderId="0" xfId="0" applyNumberFormat="1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43132</xdr:rowOff>
    </xdr:from>
    <xdr:to>
      <xdr:col>5</xdr:col>
      <xdr:colOff>17252</xdr:colOff>
      <xdr:row>28</xdr:row>
      <xdr:rowOff>69011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4E67354-5997-F85D-744B-8F63657A976C}"/>
            </a:ext>
          </a:extLst>
        </xdr:cNvPr>
        <xdr:cNvCxnSpPr/>
      </xdr:nvCxnSpPr>
      <xdr:spPr>
        <a:xfrm>
          <a:off x="4770408" y="43132"/>
          <a:ext cx="17252" cy="509821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2:I8"/>
  <sheetViews>
    <sheetView workbookViewId="0">
      <selection activeCell="H5" sqref="H5"/>
    </sheetView>
  </sheetViews>
  <sheetFormatPr defaultRowHeight="14.3" x14ac:dyDescent="0.25"/>
  <cols>
    <col min="7" max="7" width="12.375" bestFit="1" customWidth="1"/>
    <col min="8" max="8" width="15" bestFit="1" customWidth="1"/>
    <col min="9" max="9" width="10.375" bestFit="1" customWidth="1"/>
  </cols>
  <sheetData>
    <row r="2" spans="7:9" x14ac:dyDescent="0.25">
      <c r="H2" s="3" t="s">
        <v>6</v>
      </c>
    </row>
    <row r="3" spans="7:9" x14ac:dyDescent="0.25">
      <c r="G3" t="s">
        <v>1</v>
      </c>
      <c r="H3">
        <v>7.76</v>
      </c>
    </row>
    <row r="4" spans="7:9" x14ac:dyDescent="0.25">
      <c r="G4" t="s">
        <v>0</v>
      </c>
      <c r="H4" s="2">
        <v>13850</v>
      </c>
    </row>
    <row r="5" spans="7:9" x14ac:dyDescent="0.25">
      <c r="G5" s="2" t="s">
        <v>2</v>
      </c>
      <c r="H5" s="2">
        <f>H3*H4</f>
        <v>107476</v>
      </c>
    </row>
    <row r="6" spans="7:9" x14ac:dyDescent="0.25">
      <c r="G6" t="s">
        <v>3</v>
      </c>
      <c r="H6" s="2">
        <f>17415+20051+139794</f>
        <v>177260</v>
      </c>
      <c r="I6" s="4">
        <v>45291</v>
      </c>
    </row>
    <row r="7" spans="7:9" x14ac:dyDescent="0.25">
      <c r="G7" t="s">
        <v>4</v>
      </c>
      <c r="H7" s="2">
        <f>181747+28031+1151+51001</f>
        <v>261930</v>
      </c>
      <c r="I7" s="4">
        <v>45291</v>
      </c>
    </row>
    <row r="8" spans="7:9" x14ac:dyDescent="0.25">
      <c r="G8" t="s">
        <v>5</v>
      </c>
      <c r="H8" s="2">
        <f>H5-H6+H7</f>
        <v>192146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30622-7B34-4C4D-B013-AB3B7ADD313A}">
  <dimension ref="A1:S70"/>
  <sheetViews>
    <sheetView tabSelected="1" workbookViewId="0">
      <pane xSplit="2" ySplit="2" topLeftCell="C27" activePane="bottomRight" state="frozen"/>
      <selection pane="topRight" activeCell="C1" sqref="C1"/>
      <selection pane="bottomLeft" activeCell="A3" sqref="A3"/>
      <selection pane="bottomRight" activeCell="D34" sqref="D34"/>
    </sheetView>
  </sheetViews>
  <sheetFormatPr defaultRowHeight="14.3" x14ac:dyDescent="0.25"/>
  <cols>
    <col min="2" max="2" width="49.625" customWidth="1"/>
    <col min="4" max="4" width="12.375" bestFit="1" customWidth="1"/>
    <col min="5" max="5" width="11.375" bestFit="1" customWidth="1"/>
    <col min="14" max="14" width="9.25" bestFit="1" customWidth="1"/>
  </cols>
  <sheetData>
    <row r="1" spans="1:19" x14ac:dyDescent="0.25">
      <c r="A1" t="s">
        <v>6</v>
      </c>
      <c r="F1" t="s">
        <v>28</v>
      </c>
    </row>
    <row r="2" spans="1:19" x14ac:dyDescent="0.25">
      <c r="C2">
        <v>2021</v>
      </c>
      <c r="D2">
        <v>2022</v>
      </c>
      <c r="E2">
        <v>2023</v>
      </c>
      <c r="F2" t="s">
        <v>29</v>
      </c>
      <c r="G2" t="s">
        <v>30</v>
      </c>
    </row>
    <row r="3" spans="1:19" x14ac:dyDescent="0.25">
      <c r="B3" t="s">
        <v>7</v>
      </c>
      <c r="C3" s="2">
        <v>1152274</v>
      </c>
      <c r="D3" s="2">
        <v>1245707</v>
      </c>
      <c r="E3" s="2">
        <v>1657407</v>
      </c>
      <c r="F3" s="10">
        <f>D3/C3</f>
        <v>1.0810857487021317</v>
      </c>
      <c r="G3" s="10">
        <f t="shared" ref="G3:G17" si="0">E3/D3</f>
        <v>1.3304950522073007</v>
      </c>
    </row>
    <row r="4" spans="1:19" x14ac:dyDescent="0.25">
      <c r="B4" t="s">
        <v>10</v>
      </c>
      <c r="C4" s="2">
        <v>1089312</v>
      </c>
      <c r="D4" s="2">
        <v>1175874</v>
      </c>
      <c r="E4" s="2">
        <v>1559961</v>
      </c>
      <c r="F4" s="10">
        <f t="shared" ref="F4:F17" si="1">D4/C4</f>
        <v>1.0794648365206663</v>
      </c>
      <c r="G4" s="10">
        <f t="shared" si="0"/>
        <v>1.3266395889355491</v>
      </c>
    </row>
    <row r="5" spans="1:19" s="5" customFormat="1" x14ac:dyDescent="0.25">
      <c r="B5" s="5" t="s">
        <v>9</v>
      </c>
      <c r="C5" s="6">
        <f>C3-C4</f>
        <v>62962</v>
      </c>
      <c r="D5" s="6">
        <f>D3-D4</f>
        <v>69833</v>
      </c>
      <c r="E5" s="6">
        <f>E3-E4</f>
        <v>97446</v>
      </c>
      <c r="F5" s="13">
        <f t="shared" si="1"/>
        <v>1.1091293160954225</v>
      </c>
      <c r="G5" s="13">
        <f t="shared" si="0"/>
        <v>1.3954147752495238</v>
      </c>
    </row>
    <row r="6" spans="1:19" x14ac:dyDescent="0.25">
      <c r="B6" t="s">
        <v>8</v>
      </c>
      <c r="C6" s="2">
        <v>37113</v>
      </c>
      <c r="D6" s="2">
        <v>35590</v>
      </c>
      <c r="E6" s="2">
        <v>59048</v>
      </c>
      <c r="F6" s="10">
        <f t="shared" si="1"/>
        <v>0.95896316654541536</v>
      </c>
      <c r="G6" s="10">
        <f t="shared" si="0"/>
        <v>1.6591177296993538</v>
      </c>
    </row>
    <row r="7" spans="1:19" x14ac:dyDescent="0.25">
      <c r="B7" t="s">
        <v>11</v>
      </c>
      <c r="C7" s="2">
        <v>6732</v>
      </c>
      <c r="D7" s="2">
        <v>7566</v>
      </c>
      <c r="E7" s="2">
        <v>8439</v>
      </c>
      <c r="F7" s="10">
        <f t="shared" si="1"/>
        <v>1.123885918003565</v>
      </c>
      <c r="G7" s="10">
        <f t="shared" si="0"/>
        <v>1.1153846153846154</v>
      </c>
    </row>
    <row r="8" spans="1:19" x14ac:dyDescent="0.25">
      <c r="B8" t="s">
        <v>13</v>
      </c>
      <c r="C8" s="2">
        <v>7893</v>
      </c>
      <c r="D8" s="2">
        <v>5604</v>
      </c>
      <c r="E8" s="2">
        <v>7514</v>
      </c>
      <c r="F8" s="10">
        <f t="shared" si="1"/>
        <v>0.70999619916381607</v>
      </c>
      <c r="G8" s="10">
        <f t="shared" si="0"/>
        <v>1.3408279800142755</v>
      </c>
    </row>
    <row r="9" spans="1:19" x14ac:dyDescent="0.25">
      <c r="B9" t="s">
        <v>12</v>
      </c>
      <c r="C9" s="2">
        <v>3709</v>
      </c>
      <c r="D9" s="2">
        <v>3301</v>
      </c>
      <c r="E9" s="2">
        <v>7193</v>
      </c>
      <c r="F9" s="10">
        <f t="shared" si="1"/>
        <v>0.8899973038554867</v>
      </c>
      <c r="G9" s="10">
        <f t="shared" si="0"/>
        <v>2.1790366555589213</v>
      </c>
      <c r="N9" s="1"/>
      <c r="O9" s="1"/>
      <c r="P9" s="1"/>
      <c r="Q9" s="1"/>
      <c r="S9" s="1"/>
    </row>
    <row r="10" spans="1:19" s="5" customFormat="1" x14ac:dyDescent="0.25">
      <c r="B10" s="5" t="s">
        <v>14</v>
      </c>
      <c r="C10" s="6">
        <f>C5-SUM(C6:C7)+C8-C9</f>
        <v>23301</v>
      </c>
      <c r="D10" s="6">
        <f>D5-SUM(D6:D7)+D8-D9</f>
        <v>28980</v>
      </c>
      <c r="E10" s="6">
        <f>E5-SUM(E6:E7)+E8-E9</f>
        <v>30280</v>
      </c>
      <c r="F10" s="13">
        <f t="shared" si="1"/>
        <v>1.2437234453456933</v>
      </c>
      <c r="G10" s="13">
        <f t="shared" si="0"/>
        <v>1.0448585231193928</v>
      </c>
    </row>
    <row r="11" spans="1:19" x14ac:dyDescent="0.25">
      <c r="B11" t="s">
        <v>15</v>
      </c>
      <c r="C11" s="2">
        <v>851</v>
      </c>
      <c r="D11" s="2">
        <v>1148</v>
      </c>
      <c r="E11" s="2">
        <v>12689</v>
      </c>
      <c r="F11" s="10">
        <f t="shared" si="1"/>
        <v>1.3490011750881317</v>
      </c>
      <c r="G11" s="10">
        <f t="shared" si="0"/>
        <v>11.053135888501743</v>
      </c>
    </row>
    <row r="12" spans="1:19" x14ac:dyDescent="0.25">
      <c r="B12" t="s">
        <v>16</v>
      </c>
      <c r="C12" s="2">
        <v>2883</v>
      </c>
      <c r="D12" s="2">
        <v>9760</v>
      </c>
      <c r="E12" s="2">
        <v>13071</v>
      </c>
      <c r="F12" s="10">
        <f t="shared" si="1"/>
        <v>3.3853624696496705</v>
      </c>
      <c r="G12" s="10">
        <f t="shared" si="0"/>
        <v>1.3392418032786886</v>
      </c>
      <c r="N12" s="1"/>
    </row>
    <row r="13" spans="1:19" s="5" customFormat="1" x14ac:dyDescent="0.25">
      <c r="B13" s="5" t="s">
        <v>17</v>
      </c>
      <c r="C13" s="6">
        <f>C10+C11-C12</f>
        <v>21269</v>
      </c>
      <c r="D13" s="6">
        <f>D10+D11-D12</f>
        <v>20368</v>
      </c>
      <c r="E13" s="6">
        <f>E10+E11-E12</f>
        <v>29898</v>
      </c>
      <c r="F13" s="13">
        <f t="shared" si="1"/>
        <v>0.95763787672198974</v>
      </c>
      <c r="G13" s="13">
        <f t="shared" si="0"/>
        <v>1.4678908091123331</v>
      </c>
    </row>
    <row r="14" spans="1:19" x14ac:dyDescent="0.25">
      <c r="B14" t="s">
        <v>18</v>
      </c>
      <c r="C14" s="2">
        <v>3361</v>
      </c>
      <c r="D14" s="2">
        <v>3865</v>
      </c>
      <c r="E14" s="2">
        <v>5340</v>
      </c>
      <c r="F14" s="10">
        <f t="shared" si="1"/>
        <v>1.1499553704254686</v>
      </c>
      <c r="G14" s="10">
        <f t="shared" si="0"/>
        <v>1.3816300129366106</v>
      </c>
    </row>
    <row r="15" spans="1:19" s="5" customFormat="1" x14ac:dyDescent="0.25">
      <c r="B15" s="5" t="s">
        <v>19</v>
      </c>
      <c r="C15" s="6">
        <f>C13-C14</f>
        <v>17908</v>
      </c>
      <c r="D15" s="6">
        <f>D13-D14</f>
        <v>16503</v>
      </c>
      <c r="E15" s="6">
        <f>E13-E14</f>
        <v>24558</v>
      </c>
      <c r="F15" s="13">
        <f t="shared" si="1"/>
        <v>0.92154344427071699</v>
      </c>
      <c r="G15" s="13">
        <f t="shared" si="0"/>
        <v>1.4880930739865479</v>
      </c>
    </row>
    <row r="16" spans="1:19" s="7" customFormat="1" x14ac:dyDescent="0.25">
      <c r="B16" s="7" t="s">
        <v>27</v>
      </c>
      <c r="C16" s="11">
        <v>13547</v>
      </c>
      <c r="D16" s="11">
        <v>13547</v>
      </c>
      <c r="E16" s="11">
        <v>13547</v>
      </c>
      <c r="F16" s="10">
        <f t="shared" si="1"/>
        <v>1</v>
      </c>
      <c r="G16" s="10">
        <f t="shared" si="0"/>
        <v>1</v>
      </c>
    </row>
    <row r="17" spans="2:7" s="7" customFormat="1" x14ac:dyDescent="0.25">
      <c r="B17" s="7" t="s">
        <v>26</v>
      </c>
      <c r="C17" s="12">
        <f>C15/C16</f>
        <v>1.3219162914298368</v>
      </c>
      <c r="D17" s="12">
        <f>D15/D16</f>
        <v>1.2182032922418247</v>
      </c>
      <c r="E17" s="12">
        <f>E15/E16</f>
        <v>1.8127998818926701</v>
      </c>
      <c r="F17" s="10">
        <f t="shared" si="1"/>
        <v>0.92154344427071699</v>
      </c>
      <c r="G17" s="10">
        <f t="shared" si="0"/>
        <v>1.4880930739865481</v>
      </c>
    </row>
    <row r="19" spans="2:7" s="7" customFormat="1" x14ac:dyDescent="0.25">
      <c r="B19" s="7" t="s">
        <v>21</v>
      </c>
      <c r="C19" s="8">
        <f>C5/C3</f>
        <v>5.4641517555720255E-2</v>
      </c>
      <c r="D19" s="8">
        <f>D5/D3</f>
        <v>5.6058928785019273E-2</v>
      </c>
      <c r="E19" s="8">
        <f>E5/E3</f>
        <v>5.8794249089089159E-2</v>
      </c>
    </row>
    <row r="20" spans="2:7" x14ac:dyDescent="0.25">
      <c r="B20" t="s">
        <v>20</v>
      </c>
      <c r="C20" s="9">
        <f>C10/C3</f>
        <v>2.022175281226514E-2</v>
      </c>
      <c r="D20" s="9">
        <f>D10/D3</f>
        <v>2.326389752967592E-2</v>
      </c>
      <c r="E20" s="9">
        <f>E10/E3</f>
        <v>1.8269501697531144E-2</v>
      </c>
    </row>
    <row r="21" spans="2:7" s="7" customFormat="1" x14ac:dyDescent="0.25">
      <c r="B21" s="7" t="s">
        <v>22</v>
      </c>
      <c r="C21" s="8">
        <f>C15/C3</f>
        <v>1.5541442399984727E-2</v>
      </c>
      <c r="D21" s="8">
        <f>D15/D3</f>
        <v>1.3247898582893087E-2</v>
      </c>
      <c r="E21" s="8">
        <f>E15/E3</f>
        <v>1.4817120960633085E-2</v>
      </c>
    </row>
    <row r="22" spans="2:7" s="7" customFormat="1" x14ac:dyDescent="0.25">
      <c r="D22" s="8"/>
      <c r="E22" s="8"/>
    </row>
    <row r="23" spans="2:7" s="7" customFormat="1" x14ac:dyDescent="0.25">
      <c r="B23" s="7" t="s">
        <v>23</v>
      </c>
      <c r="D23" s="8">
        <f>D3/C3-1</f>
        <v>8.1085748702131699E-2</v>
      </c>
      <c r="E23" s="8">
        <f>E3/D3-1</f>
        <v>0.33049505220730069</v>
      </c>
    </row>
    <row r="24" spans="2:7" s="7" customFormat="1" x14ac:dyDescent="0.25">
      <c r="B24" s="7" t="s">
        <v>24</v>
      </c>
      <c r="D24" s="8">
        <f>D5/C5-1</f>
        <v>0.10912931609542253</v>
      </c>
      <c r="E24" s="8">
        <f>E5/D5-1</f>
        <v>0.39541477524952384</v>
      </c>
    </row>
    <row r="25" spans="2:7" s="7" customFormat="1" x14ac:dyDescent="0.25">
      <c r="B25" s="7" t="s">
        <v>25</v>
      </c>
      <c r="D25" s="8">
        <f>D15/C15-1</f>
        <v>-7.8456555729283006E-2</v>
      </c>
      <c r="E25" s="8">
        <f>E15/D15-1</f>
        <v>0.48809307398654789</v>
      </c>
    </row>
    <row r="27" spans="2:7" x14ac:dyDescent="0.25">
      <c r="B27" s="7" t="s">
        <v>18</v>
      </c>
      <c r="C27" s="9">
        <f>C14/C13</f>
        <v>0.15802341435892614</v>
      </c>
      <c r="D27" s="9">
        <f>D14/D13</f>
        <v>0.1897584446190102</v>
      </c>
      <c r="E27" s="9">
        <f>E14/E13</f>
        <v>0.17860726469997992</v>
      </c>
    </row>
    <row r="31" spans="2:7" x14ac:dyDescent="0.25">
      <c r="B31" s="5" t="s">
        <v>92</v>
      </c>
    </row>
    <row r="32" spans="2:7" s="5" customFormat="1" x14ac:dyDescent="0.25">
      <c r="B32" s="15" t="s">
        <v>88</v>
      </c>
      <c r="C32" s="6">
        <v>20908</v>
      </c>
      <c r="D32" s="6">
        <v>20896</v>
      </c>
      <c r="E32" s="6">
        <v>20960</v>
      </c>
    </row>
    <row r="33" spans="2:5" ht="28.55" x14ac:dyDescent="0.25">
      <c r="B33" s="14" t="s">
        <v>89</v>
      </c>
      <c r="C33" s="2">
        <v>-39244</v>
      </c>
      <c r="D33" s="2">
        <v>18564</v>
      </c>
      <c r="E33" s="2">
        <v>-98071</v>
      </c>
    </row>
    <row r="34" spans="2:5" x14ac:dyDescent="0.25">
      <c r="B34" s="14" t="s">
        <v>90</v>
      </c>
      <c r="C34" s="2">
        <v>-49799</v>
      </c>
      <c r="D34" s="2">
        <v>-21625</v>
      </c>
      <c r="E34" s="2">
        <v>14920</v>
      </c>
    </row>
    <row r="35" spans="2:5" x14ac:dyDescent="0.25">
      <c r="B35" s="14" t="s">
        <v>91</v>
      </c>
      <c r="C35" s="2">
        <v>0</v>
      </c>
      <c r="D35" s="2">
        <v>2733</v>
      </c>
      <c r="E35" s="2">
        <v>-7830</v>
      </c>
    </row>
    <row r="36" spans="2:5" ht="28.55" x14ac:dyDescent="0.25">
      <c r="B36" s="14" t="s">
        <v>93</v>
      </c>
      <c r="C36" s="2">
        <v>91160</v>
      </c>
      <c r="D36" s="2">
        <v>-36868</v>
      </c>
      <c r="E36" s="2">
        <v>56222</v>
      </c>
    </row>
    <row r="37" spans="2:5" x14ac:dyDescent="0.25">
      <c r="B37" s="14" t="s">
        <v>94</v>
      </c>
      <c r="C37" s="2">
        <v>192</v>
      </c>
      <c r="D37" s="2">
        <v>-383</v>
      </c>
      <c r="E37" s="2">
        <v>4670</v>
      </c>
    </row>
    <row r="38" spans="2:5" x14ac:dyDescent="0.25">
      <c r="B38" s="14" t="s">
        <v>95</v>
      </c>
      <c r="C38" s="2">
        <v>10251</v>
      </c>
      <c r="D38" s="2">
        <v>-981</v>
      </c>
      <c r="E38" s="2">
        <v>16503</v>
      </c>
    </row>
    <row r="39" spans="2:5" ht="28.55" x14ac:dyDescent="0.25">
      <c r="B39" s="14" t="s">
        <v>96</v>
      </c>
      <c r="C39" s="2">
        <v>-26</v>
      </c>
      <c r="D39" s="2">
        <v>-7</v>
      </c>
      <c r="E39" s="2">
        <v>0</v>
      </c>
    </row>
    <row r="40" spans="2:5" ht="28.55" x14ac:dyDescent="0.25">
      <c r="B40" s="14" t="s">
        <v>97</v>
      </c>
      <c r="C40" s="2">
        <v>0</v>
      </c>
      <c r="D40" s="2">
        <v>0</v>
      </c>
      <c r="E40" s="2">
        <v>1151</v>
      </c>
    </row>
    <row r="41" spans="2:5" x14ac:dyDescent="0.25">
      <c r="B41" s="14" t="s">
        <v>98</v>
      </c>
      <c r="C41" s="2">
        <v>778</v>
      </c>
      <c r="D41" s="2">
        <v>846</v>
      </c>
      <c r="E41" s="2">
        <v>573</v>
      </c>
    </row>
    <row r="42" spans="2:5" x14ac:dyDescent="0.25">
      <c r="B42" s="14" t="s">
        <v>108</v>
      </c>
      <c r="C42" s="2">
        <v>2883</v>
      </c>
      <c r="D42" s="2">
        <v>8505</v>
      </c>
      <c r="E42" s="2">
        <v>10976</v>
      </c>
    </row>
    <row r="43" spans="2:5" ht="28.55" x14ac:dyDescent="0.25">
      <c r="B43" s="14" t="s">
        <v>99</v>
      </c>
      <c r="C43" s="2">
        <v>-324</v>
      </c>
      <c r="D43" s="2">
        <v>-137</v>
      </c>
      <c r="E43" s="2">
        <v>-634</v>
      </c>
    </row>
    <row r="44" spans="2:5" x14ac:dyDescent="0.25">
      <c r="B44" s="14" t="s">
        <v>100</v>
      </c>
      <c r="C44" s="2">
        <v>-169</v>
      </c>
      <c r="D44" s="2">
        <v>-364</v>
      </c>
      <c r="E44" s="2">
        <v>16</v>
      </c>
    </row>
    <row r="45" spans="2:5" s="5" customFormat="1" x14ac:dyDescent="0.25">
      <c r="B45" s="15" t="s">
        <v>101</v>
      </c>
      <c r="C45" s="6">
        <f>SUM(C32:C44)-C32</f>
        <v>15702</v>
      </c>
      <c r="D45" s="6">
        <f>SUM(D32:D44)-D32</f>
        <v>-29717</v>
      </c>
      <c r="E45" s="6">
        <f>SUM(E32:E44)-E32</f>
        <v>-1504</v>
      </c>
    </row>
    <row r="46" spans="2:5" x14ac:dyDescent="0.25">
      <c r="B46" s="14" t="s">
        <v>102</v>
      </c>
      <c r="C46" s="2">
        <v>36610</v>
      </c>
      <c r="D46" s="2">
        <v>-14287</v>
      </c>
      <c r="E46" s="2">
        <v>19456</v>
      </c>
    </row>
    <row r="47" spans="2:5" x14ac:dyDescent="0.25">
      <c r="B47" s="14" t="s">
        <v>103</v>
      </c>
      <c r="C47" s="2">
        <v>7605</v>
      </c>
      <c r="D47" s="2">
        <v>1562</v>
      </c>
      <c r="E47" s="2">
        <v>8697</v>
      </c>
    </row>
    <row r="48" spans="2:5" s="5" customFormat="1" x14ac:dyDescent="0.25">
      <c r="B48" s="15" t="s">
        <v>104</v>
      </c>
      <c r="C48" s="6">
        <f>C46-C47</f>
        <v>29005</v>
      </c>
      <c r="D48" s="6">
        <f>D46-D47</f>
        <v>-15849</v>
      </c>
      <c r="E48" s="6">
        <f>E46-E47</f>
        <v>10759</v>
      </c>
    </row>
    <row r="49" spans="2:5" x14ac:dyDescent="0.25">
      <c r="C49" s="2"/>
      <c r="D49" s="2"/>
    </row>
    <row r="50" spans="2:5" s="5" customFormat="1" x14ac:dyDescent="0.25">
      <c r="B50" s="5" t="s">
        <v>105</v>
      </c>
      <c r="C50" s="6"/>
      <c r="D50" s="6"/>
    </row>
    <row r="51" spans="2:5" x14ac:dyDescent="0.25">
      <c r="B51" t="s">
        <v>112</v>
      </c>
      <c r="C51" s="2">
        <v>-312</v>
      </c>
      <c r="D51" s="2">
        <v>-276</v>
      </c>
      <c r="E51">
        <v>-706</v>
      </c>
    </row>
    <row r="52" spans="2:5" x14ac:dyDescent="0.25">
      <c r="B52" t="s">
        <v>113</v>
      </c>
      <c r="C52" s="2">
        <v>26</v>
      </c>
      <c r="D52" s="2">
        <v>7</v>
      </c>
      <c r="E52">
        <v>0</v>
      </c>
    </row>
    <row r="53" spans="2:5" s="5" customFormat="1" x14ac:dyDescent="0.25">
      <c r="B53" s="5" t="s">
        <v>114</v>
      </c>
      <c r="C53" s="6">
        <f>C51+C52</f>
        <v>-286</v>
      </c>
      <c r="D53" s="6">
        <f>D51+D52</f>
        <v>-269</v>
      </c>
      <c r="E53" s="6">
        <f>E51+E52</f>
        <v>-706</v>
      </c>
    </row>
    <row r="54" spans="2:5" x14ac:dyDescent="0.25">
      <c r="C54" s="2"/>
      <c r="D54" s="2"/>
    </row>
    <row r="55" spans="2:5" x14ac:dyDescent="0.25">
      <c r="B55" s="5" t="s">
        <v>111</v>
      </c>
      <c r="C55" s="2"/>
      <c r="D55" s="2"/>
    </row>
    <row r="56" spans="2:5" x14ac:dyDescent="0.25">
      <c r="B56" t="s">
        <v>106</v>
      </c>
      <c r="C56" s="2">
        <v>0</v>
      </c>
      <c r="D56" s="2">
        <v>37521</v>
      </c>
      <c r="E56" s="2">
        <v>0</v>
      </c>
    </row>
    <row r="57" spans="2:5" x14ac:dyDescent="0.25">
      <c r="B57" t="s">
        <v>107</v>
      </c>
      <c r="C57" s="2">
        <v>-20214</v>
      </c>
      <c r="D57" s="2">
        <v>0</v>
      </c>
      <c r="E57" s="2">
        <v>-16465</v>
      </c>
    </row>
    <row r="58" spans="2:5" x14ac:dyDescent="0.25">
      <c r="B58" t="s">
        <v>108</v>
      </c>
      <c r="C58" s="2">
        <v>-2883</v>
      </c>
      <c r="D58" s="2">
        <v>-8505</v>
      </c>
      <c r="E58" s="2">
        <v>-11924</v>
      </c>
    </row>
    <row r="59" spans="2:5" x14ac:dyDescent="0.25">
      <c r="B59" t="s">
        <v>117</v>
      </c>
      <c r="C59" s="2">
        <v>-8</v>
      </c>
      <c r="D59" s="2">
        <v>0</v>
      </c>
      <c r="E59" s="2">
        <v>0</v>
      </c>
    </row>
    <row r="60" spans="2:5" x14ac:dyDescent="0.25">
      <c r="B60" t="s">
        <v>109</v>
      </c>
      <c r="C60" s="2">
        <v>-2032</v>
      </c>
      <c r="D60" s="2">
        <v>-4064</v>
      </c>
      <c r="E60" s="2">
        <v>0</v>
      </c>
    </row>
    <row r="61" spans="2:5" x14ac:dyDescent="0.25">
      <c r="B61" t="s">
        <v>110</v>
      </c>
      <c r="C61" s="2">
        <v>-1</v>
      </c>
      <c r="D61" s="2">
        <v>1969</v>
      </c>
      <c r="E61" s="2">
        <v>0</v>
      </c>
    </row>
    <row r="62" spans="2:5" s="5" customFormat="1" x14ac:dyDescent="0.25">
      <c r="B62" s="5" t="s">
        <v>115</v>
      </c>
      <c r="C62" s="6">
        <f>SUM(C56:C61)</f>
        <v>-25138</v>
      </c>
      <c r="D62" s="6">
        <f>SUM(D56:D61)</f>
        <v>26921</v>
      </c>
      <c r="E62" s="6">
        <f>SUM(E56:E61)</f>
        <v>-28389</v>
      </c>
    </row>
    <row r="63" spans="2:5" x14ac:dyDescent="0.25">
      <c r="C63" s="2"/>
      <c r="D63" s="2"/>
    </row>
    <row r="64" spans="2:5" s="5" customFormat="1" x14ac:dyDescent="0.25">
      <c r="B64" s="5" t="s">
        <v>116</v>
      </c>
      <c r="C64" s="6">
        <v>3581</v>
      </c>
      <c r="D64" s="6">
        <v>10803</v>
      </c>
      <c r="E64" s="6">
        <v>-18336</v>
      </c>
    </row>
    <row r="65" spans="2:5" s="7" customFormat="1" x14ac:dyDescent="0.25">
      <c r="B65" s="7" t="s">
        <v>118</v>
      </c>
      <c r="C65" s="11">
        <v>13451</v>
      </c>
      <c r="D65" s="11">
        <v>17201</v>
      </c>
      <c r="E65" s="11">
        <v>28004</v>
      </c>
    </row>
    <row r="66" spans="2:5" s="7" customFormat="1" x14ac:dyDescent="0.25">
      <c r="B66" s="7" t="s">
        <v>119</v>
      </c>
      <c r="C66" s="11">
        <v>17201</v>
      </c>
      <c r="D66" s="11">
        <v>28004</v>
      </c>
      <c r="E66" s="11">
        <v>9652</v>
      </c>
    </row>
    <row r="68" spans="2:5" x14ac:dyDescent="0.25">
      <c r="B68" t="s">
        <v>122</v>
      </c>
      <c r="C68" s="10">
        <f>C15/C48</f>
        <v>0.61741079124288911</v>
      </c>
      <c r="D68" s="10">
        <f t="shared" ref="D68:E68" si="2">D15/D48</f>
        <v>-1.0412644330872611</v>
      </c>
      <c r="E68" s="10">
        <f t="shared" si="2"/>
        <v>2.2825541407193977</v>
      </c>
    </row>
    <row r="69" spans="2:5" x14ac:dyDescent="0.25">
      <c r="B69" t="s">
        <v>120</v>
      </c>
      <c r="C69" s="10">
        <f>C45/C3</f>
        <v>1.3626967197038204E-2</v>
      </c>
      <c r="D69" s="10">
        <f>D45/D3</f>
        <v>-2.3855529430275337E-2</v>
      </c>
      <c r="E69" s="10">
        <f>E45/E3</f>
        <v>-9.0744156384038436E-4</v>
      </c>
    </row>
    <row r="70" spans="2:5" x14ac:dyDescent="0.25">
      <c r="B70" t="s">
        <v>121</v>
      </c>
      <c r="C70" s="10">
        <f>C45/C5</f>
        <v>0.24938852005971857</v>
      </c>
      <c r="D70" s="10">
        <f>D45/D5</f>
        <v>-0.42554379734509473</v>
      </c>
      <c r="E70" s="10">
        <f>E45/E5</f>
        <v>-1.5434189191962728E-2</v>
      </c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93A1B-AD2E-4B38-A998-ED841CBADDC7}">
  <dimension ref="A1"/>
  <sheetViews>
    <sheetView workbookViewId="0"/>
  </sheetViews>
  <sheetFormatPr defaultRowHeight="14.3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5C91E-C21F-4644-845C-FD79E7A50427}">
  <dimension ref="C1:V37"/>
  <sheetViews>
    <sheetView workbookViewId="0">
      <selection activeCell="B1" sqref="B1:F29"/>
    </sheetView>
  </sheetViews>
  <sheetFormatPr defaultRowHeight="14.3" x14ac:dyDescent="0.25"/>
  <cols>
    <col min="3" max="3" width="63" bestFit="1" customWidth="1"/>
    <col min="4" max="5" width="10.625" customWidth="1"/>
    <col min="6" max="6" width="12.75" bestFit="1" customWidth="1"/>
    <col min="8" max="8" width="18" bestFit="1" customWidth="1"/>
    <col min="9" max="9" width="9.875" bestFit="1" customWidth="1"/>
  </cols>
  <sheetData>
    <row r="1" spans="3:22" s="5" customFormat="1" x14ac:dyDescent="0.25">
      <c r="D1" s="5">
        <v>2021</v>
      </c>
      <c r="E1" s="5">
        <v>2022</v>
      </c>
      <c r="F1" s="5">
        <v>2023</v>
      </c>
      <c r="N1" s="5" t="s">
        <v>75</v>
      </c>
    </row>
    <row r="2" spans="3:22" x14ac:dyDescent="0.25">
      <c r="C2" t="s">
        <v>31</v>
      </c>
      <c r="D2" s="9">
        <f>57391/$I$4</f>
        <v>0.15706478159371862</v>
      </c>
      <c r="E2" s="10">
        <f>56702/$I$3</f>
        <v>0.14942262183970442</v>
      </c>
      <c r="F2" s="10">
        <f>60430/464019*100%</f>
        <v>0.1302317362004573</v>
      </c>
      <c r="H2" t="s">
        <v>85</v>
      </c>
      <c r="I2" s="2">
        <v>464019</v>
      </c>
      <c r="N2" t="s">
        <v>32</v>
      </c>
    </row>
    <row r="3" spans="3:22" x14ac:dyDescent="0.25">
      <c r="C3" t="s">
        <v>33</v>
      </c>
      <c r="D3" s="10">
        <f>308006/$I$4</f>
        <v>0.84293521840628138</v>
      </c>
      <c r="E3" s="10">
        <f>322772/$I$3</f>
        <v>0.85057737816029555</v>
      </c>
      <c r="F3" s="10">
        <f>403589/464019*100%</f>
        <v>0.86976826379954264</v>
      </c>
      <c r="H3" t="s">
        <v>86</v>
      </c>
      <c r="I3" s="2">
        <v>379474</v>
      </c>
      <c r="N3" t="s">
        <v>34</v>
      </c>
      <c r="V3">
        <f>17247/1633666</f>
        <v>1.0557237525907988E-2</v>
      </c>
    </row>
    <row r="4" spans="3:22" x14ac:dyDescent="0.25">
      <c r="C4" t="s">
        <v>35</v>
      </c>
      <c r="D4" s="10">
        <f>308006/$I$4</f>
        <v>0.84293521840628138</v>
      </c>
      <c r="E4" s="10">
        <f>31579/$I$3</f>
        <v>8.3217822564918803E-2</v>
      </c>
      <c r="F4" s="10">
        <f>31585/464019</f>
        <v>6.8068333408761283E-2</v>
      </c>
      <c r="H4" t="s">
        <v>87</v>
      </c>
      <c r="I4" s="2">
        <v>365397</v>
      </c>
      <c r="N4" t="s">
        <v>36</v>
      </c>
      <c r="V4">
        <f>205664+266418</f>
        <v>472082</v>
      </c>
    </row>
    <row r="5" spans="3:22" x14ac:dyDescent="0.25">
      <c r="C5" t="s">
        <v>37</v>
      </c>
      <c r="D5" s="10">
        <f>18637/$I$4</f>
        <v>5.1004797521599796E-2</v>
      </c>
      <c r="E5" s="10">
        <f>18470/$I$3</f>
        <v>4.8672636333451043E-2</v>
      </c>
      <c r="F5" s="10">
        <f>18631/$I$2</f>
        <v>4.0151373111876887E-2</v>
      </c>
      <c r="I5" s="2"/>
      <c r="N5" t="s">
        <v>38</v>
      </c>
      <c r="V5">
        <f>V4/2</f>
        <v>236041</v>
      </c>
    </row>
    <row r="6" spans="3:22" x14ac:dyDescent="0.25">
      <c r="C6" t="s">
        <v>39</v>
      </c>
      <c r="D6" s="10">
        <f>143384/$I$4</f>
        <v>0.3924060679206452</v>
      </c>
      <c r="E6" s="10">
        <f>125858/$I$3</f>
        <v>0.33166435645129838</v>
      </c>
      <c r="F6" s="10">
        <f>225900/I2</f>
        <v>0.48683351328286129</v>
      </c>
      <c r="I6" s="2"/>
      <c r="N6" t="s">
        <v>40</v>
      </c>
    </row>
    <row r="7" spans="3:22" x14ac:dyDescent="0.25">
      <c r="C7" t="s">
        <v>41</v>
      </c>
      <c r="D7" s="10">
        <v>0</v>
      </c>
      <c r="E7" s="10">
        <v>0</v>
      </c>
      <c r="F7" s="10">
        <f>0/I2</f>
        <v>0</v>
      </c>
      <c r="I7" s="2"/>
      <c r="N7" t="s">
        <v>42</v>
      </c>
      <c r="V7">
        <f>V5/(58315+8380-6610)</f>
        <v>3.9284513605725224</v>
      </c>
    </row>
    <row r="8" spans="3:22" x14ac:dyDescent="0.25">
      <c r="C8" t="s">
        <v>43</v>
      </c>
      <c r="D8" s="10">
        <v>0</v>
      </c>
      <c r="E8" s="10">
        <v>0</v>
      </c>
      <c r="F8" s="10">
        <f>0</f>
        <v>0</v>
      </c>
      <c r="I8" s="2"/>
      <c r="N8" t="s">
        <v>44</v>
      </c>
    </row>
    <row r="9" spans="3:22" x14ac:dyDescent="0.25">
      <c r="C9" t="s">
        <v>45</v>
      </c>
      <c r="D9" s="10">
        <f>133765/$I$4</f>
        <v>0.36608127598201406</v>
      </c>
      <c r="E9" s="10">
        <f>154358/$I$3</f>
        <v>0.40676831614287146</v>
      </c>
      <c r="F9" s="10">
        <f>139794/I2</f>
        <v>0.30126783601533558</v>
      </c>
      <c r="I9" s="2"/>
      <c r="N9" t="s">
        <v>46</v>
      </c>
      <c r="V9">
        <f>1633666+12689+7495</f>
        <v>1653850</v>
      </c>
    </row>
    <row r="10" spans="3:22" x14ac:dyDescent="0.25">
      <c r="C10" t="s">
        <v>47</v>
      </c>
      <c r="D10" s="10">
        <f>143384/$I$4</f>
        <v>0.3924060679206452</v>
      </c>
      <c r="E10" s="10">
        <f>125858/$I$3</f>
        <v>0.33166435645129838</v>
      </c>
      <c r="F10" s="10">
        <f>225900/$I$2</f>
        <v>0.48683351328286129</v>
      </c>
      <c r="I10" s="2"/>
      <c r="N10" t="s">
        <v>48</v>
      </c>
    </row>
    <row r="11" spans="3:22" x14ac:dyDescent="0.25">
      <c r="C11" t="s">
        <v>49</v>
      </c>
      <c r="D11" s="10">
        <f t="shared" ref="D11:E11" si="0">0/$I$2</f>
        <v>0</v>
      </c>
      <c r="E11" s="10">
        <f t="shared" si="0"/>
        <v>0</v>
      </c>
      <c r="F11" s="10">
        <f>0/$I$2</f>
        <v>0</v>
      </c>
      <c r="I11" s="2"/>
      <c r="N11" t="s">
        <v>50</v>
      </c>
    </row>
    <row r="12" spans="3:22" x14ac:dyDescent="0.25">
      <c r="C12" t="s">
        <v>51</v>
      </c>
      <c r="D12" s="10">
        <f>589/$I$4</f>
        <v>1.6119453635360991E-3</v>
      </c>
      <c r="E12" s="10">
        <f>223/$I$3</f>
        <v>5.8765554425336121E-4</v>
      </c>
      <c r="F12" s="10">
        <f>4878/$I$2</f>
        <v>1.0512500565709593E-2</v>
      </c>
      <c r="I12" s="2"/>
      <c r="N12" t="s">
        <v>52</v>
      </c>
      <c r="V12">
        <f>377640+454720/2</f>
        <v>605000</v>
      </c>
    </row>
    <row r="13" spans="3:22" x14ac:dyDescent="0.25">
      <c r="E13" s="10"/>
      <c r="F13" s="10"/>
      <c r="I13" s="2"/>
    </row>
    <row r="14" spans="3:22" x14ac:dyDescent="0.25">
      <c r="C14" t="s">
        <v>53</v>
      </c>
      <c r="D14" s="10">
        <f>133765/$I$16</f>
        <v>0.43429348778919891</v>
      </c>
      <c r="E14" s="10">
        <f>154358/$I$15</f>
        <v>0.4782261162678299</v>
      </c>
      <c r="F14" s="10">
        <f>139794/I14</f>
        <v>0.34637713119039421</v>
      </c>
      <c r="H14" t="s">
        <v>79</v>
      </c>
      <c r="I14" s="2">
        <v>403589</v>
      </c>
      <c r="N14" t="s">
        <v>54</v>
      </c>
      <c r="V14">
        <f>V9/V12</f>
        <v>2.7336363636363634</v>
      </c>
    </row>
    <row r="15" spans="3:22" x14ac:dyDescent="0.25">
      <c r="C15" t="s">
        <v>55</v>
      </c>
      <c r="D15" s="10">
        <f>143384/I16</f>
        <v>0.46552339889482675</v>
      </c>
      <c r="E15" s="10">
        <f>125858/$I$15</f>
        <v>0.38992849441711175</v>
      </c>
      <c r="F15" s="10">
        <f>225900/I14</f>
        <v>0.55972784193820946</v>
      </c>
      <c r="H15" t="s">
        <v>80</v>
      </c>
      <c r="I15" s="2">
        <v>322772</v>
      </c>
      <c r="N15" t="s">
        <v>56</v>
      </c>
    </row>
    <row r="16" spans="3:22" x14ac:dyDescent="0.25">
      <c r="C16" t="s">
        <v>57</v>
      </c>
      <c r="D16" s="10">
        <v>0</v>
      </c>
      <c r="E16" s="10">
        <f>0</f>
        <v>0</v>
      </c>
      <c r="F16" s="10">
        <f>0</f>
        <v>0</v>
      </c>
      <c r="H16" t="s">
        <v>81</v>
      </c>
      <c r="I16" s="2">
        <v>308006</v>
      </c>
      <c r="N16" t="s">
        <v>58</v>
      </c>
    </row>
    <row r="17" spans="3:14" x14ac:dyDescent="0.25">
      <c r="C17" t="s">
        <v>59</v>
      </c>
      <c r="D17" s="10">
        <v>0</v>
      </c>
      <c r="E17" s="10">
        <v>0</v>
      </c>
      <c r="F17" s="10">
        <v>0</v>
      </c>
      <c r="I17" s="2"/>
      <c r="N17" t="s">
        <v>60</v>
      </c>
    </row>
    <row r="18" spans="3:14" x14ac:dyDescent="0.25">
      <c r="E18" s="10"/>
      <c r="F18" s="10"/>
      <c r="I18" s="2"/>
    </row>
    <row r="19" spans="3:14" x14ac:dyDescent="0.25">
      <c r="C19" t="s">
        <v>61</v>
      </c>
      <c r="D19" s="10">
        <f>159949/$I$21</f>
        <v>0.43774032080175806</v>
      </c>
      <c r="E19" s="10">
        <f>173557/$I$20</f>
        <v>0.45736203270843323</v>
      </c>
      <c r="F19" s="10">
        <f>196895/464019</f>
        <v>0.4243252970244753</v>
      </c>
      <c r="H19" t="s">
        <v>82</v>
      </c>
      <c r="I19" s="2">
        <v>494019</v>
      </c>
      <c r="N19" t="s">
        <v>62</v>
      </c>
    </row>
    <row r="20" spans="3:14" x14ac:dyDescent="0.25">
      <c r="C20" t="s">
        <v>63</v>
      </c>
      <c r="D20" s="10">
        <f>205448/$I$21</f>
        <v>0.56225967919824194</v>
      </c>
      <c r="E20" s="10">
        <f>205917/$I$20</f>
        <v>0.54263796729156677</v>
      </c>
      <c r="F20" s="10">
        <f>267124/464019</f>
        <v>0.5756747029755247</v>
      </c>
      <c r="H20" t="s">
        <v>83</v>
      </c>
      <c r="I20" s="2">
        <v>379474</v>
      </c>
      <c r="N20" t="s">
        <v>64</v>
      </c>
    </row>
    <row r="21" spans="3:14" x14ac:dyDescent="0.25">
      <c r="C21" t="s">
        <v>65</v>
      </c>
      <c r="D21" s="10">
        <f>(159949+356)/$I$21</f>
        <v>0.43871460356817382</v>
      </c>
      <c r="E21" s="10">
        <f>(173557+275)/$I$20</f>
        <v>0.45808672003879053</v>
      </c>
      <c r="F21" s="10">
        <f>(196895+316)/I19</f>
        <v>0.39919719686894634</v>
      </c>
      <c r="H21" t="s">
        <v>84</v>
      </c>
      <c r="I21" s="2">
        <v>365397</v>
      </c>
      <c r="N21" t="s">
        <v>66</v>
      </c>
    </row>
    <row r="22" spans="3:14" x14ac:dyDescent="0.25">
      <c r="C22" t="s">
        <v>67</v>
      </c>
      <c r="D22" s="10">
        <f>356/$I$21</f>
        <v>9.7428276641570676E-4</v>
      </c>
      <c r="E22" s="10">
        <f>275/I20</f>
        <v>7.2468733035728407E-4</v>
      </c>
      <c r="F22" s="10">
        <f>316/I19</f>
        <v>6.3965151137911698E-4</v>
      </c>
      <c r="N22" t="s">
        <v>68</v>
      </c>
    </row>
    <row r="23" spans="3:14" x14ac:dyDescent="0.25">
      <c r="C23" t="s">
        <v>69</v>
      </c>
      <c r="D23" s="10">
        <f>356/$I$21</f>
        <v>9.7428276641570676E-4</v>
      </c>
      <c r="E23" s="10">
        <f>275/I21</f>
        <v>7.5260606956269486E-4</v>
      </c>
      <c r="F23" s="10">
        <f>316/I19</f>
        <v>6.3965151137911698E-4</v>
      </c>
      <c r="N23" t="s">
        <v>70</v>
      </c>
    </row>
    <row r="24" spans="3:14" x14ac:dyDescent="0.25">
      <c r="C24" t="s">
        <v>71</v>
      </c>
      <c r="D24" s="10">
        <f>205092/$I$21</f>
        <v>0.56128539643182618</v>
      </c>
      <c r="E24" s="10">
        <f>205642/$I$20</f>
        <v>0.54191327996120942</v>
      </c>
      <c r="F24" s="10">
        <f>266808/I19</f>
        <v>0.54007639382290962</v>
      </c>
      <c r="N24" t="s">
        <v>72</v>
      </c>
    </row>
    <row r="25" spans="3:14" x14ac:dyDescent="0.25">
      <c r="C25" t="s">
        <v>73</v>
      </c>
      <c r="D25" s="10">
        <f>589/I21</f>
        <v>1.6119453635360991E-3</v>
      </c>
      <c r="E25" s="10">
        <f>223/I20</f>
        <v>5.8765554425336121E-4</v>
      </c>
      <c r="F25" s="10">
        <f>4878/I19</f>
        <v>9.8741141535042178E-3</v>
      </c>
      <c r="N25" t="s">
        <v>74</v>
      </c>
    </row>
    <row r="27" spans="3:14" x14ac:dyDescent="0.25">
      <c r="C27" t="s">
        <v>76</v>
      </c>
      <c r="D27" s="10">
        <f>159949/57391</f>
        <v>2.7870049310867557</v>
      </c>
      <c r="E27" s="10">
        <f>173557/56702</f>
        <v>3.0608620507213149</v>
      </c>
      <c r="F27" s="10">
        <f>196895/60430</f>
        <v>3.2582326658944232</v>
      </c>
    </row>
    <row r="28" spans="3:14" x14ac:dyDescent="0.25">
      <c r="C28" t="s">
        <v>77</v>
      </c>
      <c r="D28" s="10">
        <f>(159949+356)/57391</f>
        <v>2.7932079942848183</v>
      </c>
      <c r="E28" s="10">
        <f>(173557+275)/56702</f>
        <v>3.0657119678318225</v>
      </c>
      <c r="F28" s="10">
        <f>(196895+316)/60430</f>
        <v>3.263461856693695</v>
      </c>
    </row>
    <row r="29" spans="3:14" x14ac:dyDescent="0.25">
      <c r="C29" t="s">
        <v>78</v>
      </c>
      <c r="D29" s="10">
        <f>308006/$I$4</f>
        <v>0.84293521840628138</v>
      </c>
      <c r="E29" s="10">
        <f>322772/379474</f>
        <v>0.85057737816029555</v>
      </c>
      <c r="F29" s="10">
        <f>403589/464019*100%</f>
        <v>0.86976826379954264</v>
      </c>
    </row>
    <row r="37" spans="4:4" x14ac:dyDescent="0.25">
      <c r="D37">
        <f>0.605+(0.681*1.481099)+(0.000775*0.585895)-(0.00969*0.010557)+(0.000672*3.9288451361)+(0.157*2.733636364)</f>
        <v>2.0458012833744594</v>
      </c>
    </row>
  </sheetData>
  <pageMargins left="0.7" right="0.7" top="0.75" bottom="0.75" header="0.3" footer="0.3"/>
  <ignoredErrors>
    <ignoredError sqref="E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Model</vt:lpstr>
      <vt:lpstr>Sheet1</vt:lpstr>
      <vt:lpstr>Analiza wstepna - BILANS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Dawid Najdzionek</dc:creator>
  <cp:lastModifiedBy>Dawid Najdzionek</cp:lastModifiedBy>
  <dcterms:created xsi:type="dcterms:W3CDTF">2015-06-05T18:17:20Z</dcterms:created>
  <dcterms:modified xsi:type="dcterms:W3CDTF">2025-01-21T18:13:43Z</dcterms:modified>
</cp:coreProperties>
</file>