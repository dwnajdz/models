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id\OneDrive\Pulpit\Modele\"/>
    </mc:Choice>
  </mc:AlternateContent>
  <xr:revisionPtr revIDLastSave="0" documentId="13_ncr:1_{597A9FD4-1F44-4D96-93F2-430E7688906A}" xr6:coauthVersionLast="47" xr6:coauthVersionMax="47" xr10:uidLastSave="{00000000-0000-0000-0000-000000000000}"/>
  <bookViews>
    <workbookView xWindow="-109" yWindow="-109" windowWidth="26301" windowHeight="14169" activeTab="1" xr2:uid="{7D0E4D21-B030-4088-8BFA-A427A9E02625}"/>
  </bookViews>
  <sheets>
    <sheet name="Main" sheetId="1" r:id="rId1"/>
    <sheet name="Mod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3" l="1"/>
  <c r="K54" i="3"/>
  <c r="K55" i="3" s="1"/>
  <c r="G54" i="3"/>
  <c r="G55" i="3"/>
  <c r="G62" i="3"/>
  <c r="G60" i="3"/>
  <c r="K62" i="3"/>
  <c r="K60" i="3"/>
  <c r="G48" i="3"/>
  <c r="G49" i="3" s="1"/>
  <c r="G42" i="3"/>
  <c r="K49" i="3"/>
  <c r="K42" i="3"/>
  <c r="G4" i="3"/>
  <c r="G5" i="3" s="1"/>
  <c r="C4" i="3"/>
  <c r="C5" i="3" s="1"/>
  <c r="C25" i="3" s="1"/>
  <c r="G29" i="3"/>
  <c r="K3" i="3"/>
  <c r="K29" i="3" s="1"/>
  <c r="K63" i="3" l="1"/>
  <c r="G63" i="3"/>
  <c r="K30" i="3"/>
  <c r="G50" i="3"/>
  <c r="K50" i="3"/>
  <c r="G30" i="3"/>
  <c r="C16" i="3"/>
  <c r="G16" i="3"/>
  <c r="G25" i="3"/>
  <c r="K5" i="3"/>
  <c r="K16" i="3" s="1"/>
  <c r="K19" i="3" s="1"/>
  <c r="H10" i="1"/>
  <c r="H9" i="1"/>
  <c r="H8" i="1"/>
  <c r="C26" i="3" l="1"/>
  <c r="C19" i="3"/>
  <c r="C21" i="3" s="1"/>
  <c r="H11" i="1"/>
  <c r="G26" i="3"/>
  <c r="G19" i="3"/>
  <c r="G21" i="3" s="1"/>
  <c r="K21" i="3"/>
  <c r="K27" i="3" s="1"/>
  <c r="K25" i="3"/>
  <c r="K26" i="3"/>
  <c r="C27" i="3" l="1"/>
  <c r="C23" i="3"/>
  <c r="G23" i="3"/>
  <c r="G27" i="3"/>
  <c r="K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6" authorId="0" shapeId="0" xr:uid="{90EB853C-9EF2-449F-940E-86C36FAA5A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Zawartość kosztów
</t>
        </r>
      </text>
    </comment>
    <comment ref="B39" authorId="0" shapeId="0" xr:uid="{EFE44D96-034A-4919-867D-98D279A2AB36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LT = Long Term</t>
        </r>
      </text>
    </comment>
    <comment ref="B47" authorId="0" shapeId="0" xr:uid="{B115CD4A-352B-422C-8A5B-F866C4AB551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ST = Short Term</t>
        </r>
      </text>
    </comment>
  </commentList>
</comments>
</file>

<file path=xl/sharedStrings.xml><?xml version="1.0" encoding="utf-8"?>
<sst xmlns="http://schemas.openxmlformats.org/spreadsheetml/2006/main" count="83" uniqueCount="80">
  <si>
    <t>Price</t>
  </si>
  <si>
    <t>Shares</t>
  </si>
  <si>
    <t>MC</t>
  </si>
  <si>
    <t>Cash</t>
  </si>
  <si>
    <t>Debt</t>
  </si>
  <si>
    <t>EV</t>
  </si>
  <si>
    <t>Wartości podane w mln.zł oprócz ceny akcji</t>
  </si>
  <si>
    <t>Q1 24</t>
  </si>
  <si>
    <t>Przychód</t>
  </si>
  <si>
    <t>Koszt</t>
  </si>
  <si>
    <t>Amortyzacja</t>
  </si>
  <si>
    <t>Zużycie mat. I energ.</t>
  </si>
  <si>
    <t>Usługi obce</t>
  </si>
  <si>
    <t>Podatki i opłaty</t>
  </si>
  <si>
    <t>Wynagrodzenia</t>
  </si>
  <si>
    <t>Ubezpieczenia</t>
  </si>
  <si>
    <t>Pozostałe koszty</t>
  </si>
  <si>
    <t>Wartość sprzedanych towarów</t>
  </si>
  <si>
    <t>Pozostałe przychody op.</t>
  </si>
  <si>
    <t>Pozostałe koszty op.</t>
  </si>
  <si>
    <t>Przychody finansowe</t>
  </si>
  <si>
    <t>Zysk przed podatkiem</t>
  </si>
  <si>
    <t>Q124</t>
  </si>
  <si>
    <t>Q423</t>
  </si>
  <si>
    <t>Q323</t>
  </si>
  <si>
    <t>Q223</t>
  </si>
  <si>
    <t>Q123</t>
  </si>
  <si>
    <t>Zysk brutto ze sprzedaży</t>
  </si>
  <si>
    <t>Koszty finansowe</t>
  </si>
  <si>
    <t>Zysk operacyjny</t>
  </si>
  <si>
    <t>Marża brutto</t>
  </si>
  <si>
    <t>Podatek</t>
  </si>
  <si>
    <t>Zysk Netto</t>
  </si>
  <si>
    <t>Liczba akcji</t>
  </si>
  <si>
    <t>EPS</t>
  </si>
  <si>
    <t>Marża netto</t>
  </si>
  <si>
    <t>Marża operacyjna</t>
  </si>
  <si>
    <t>Przychód R/R</t>
  </si>
  <si>
    <t>Koszt R/R</t>
  </si>
  <si>
    <t>Q122</t>
  </si>
  <si>
    <t>Q222</t>
  </si>
  <si>
    <t>Q322</t>
  </si>
  <si>
    <t>Q422</t>
  </si>
  <si>
    <t>Balance Sheet</t>
  </si>
  <si>
    <t>Rzeczowe aktywa trwałe</t>
  </si>
  <si>
    <t>Wartości niematerialne</t>
  </si>
  <si>
    <t>Prawo do użytkowania</t>
  </si>
  <si>
    <t>Goodwill</t>
  </si>
  <si>
    <t>Inwesytcje</t>
  </si>
  <si>
    <t>Odroczony CIT</t>
  </si>
  <si>
    <t>Aktywa Trwałe</t>
  </si>
  <si>
    <t>Należności handlowe</t>
  </si>
  <si>
    <t>Accounts Receivable</t>
  </si>
  <si>
    <t>Należności z CIT</t>
  </si>
  <si>
    <t>Pozostałe nalezności</t>
  </si>
  <si>
    <t>Pożyczki ST</t>
  </si>
  <si>
    <t>Środki pieniężne</t>
  </si>
  <si>
    <t>Aktywa Obrotowe</t>
  </si>
  <si>
    <t>Aktywa Razem</t>
  </si>
  <si>
    <t>Wartość firmy</t>
  </si>
  <si>
    <t>Revenue</t>
  </si>
  <si>
    <t>COGS</t>
  </si>
  <si>
    <t>Gross Income</t>
  </si>
  <si>
    <t>Opearting Income</t>
  </si>
  <si>
    <t>Pretax Income</t>
  </si>
  <si>
    <t>Tax</t>
  </si>
  <si>
    <t>Net Income</t>
  </si>
  <si>
    <t>Zobowiązania LT</t>
  </si>
  <si>
    <t>Kredyty</t>
  </si>
  <si>
    <t>Accounts Payable</t>
  </si>
  <si>
    <t>Zobowiązania CIT</t>
  </si>
  <si>
    <t>Pozostałe zobow.</t>
  </si>
  <si>
    <t>Rozliczenia międzyokresowe</t>
  </si>
  <si>
    <t>Zobowiązania ST</t>
  </si>
  <si>
    <t>Zobowiązania handlowe</t>
  </si>
  <si>
    <t>Rezerwy + Emerytura</t>
  </si>
  <si>
    <t>Pozostałe zobowiązania</t>
  </si>
  <si>
    <t>Rezerwy z tytułu CIT</t>
  </si>
  <si>
    <t>Pożyczki długoterminowe</t>
  </si>
  <si>
    <t>Należności długoterminowe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</si>
</sst>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5" formatCode="#,##0.000"/>
  </numFmts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1" fillId="0" borderId="0" xfId="0" applyFont="1"/>
    <xf numFmtId="0" fontId="0" fillId="0" borderId="1" xfId="0" applyBorder="1"/>
    <xf numFmtId="0" fontId="5" fillId="0" borderId="2" xfId="0" applyFont="1" applyBorder="1"/>
    <xf numFmtId="0" fontId="0" fillId="0" borderId="3" xfId="0" applyBorder="1"/>
    <xf numFmtId="3" fontId="0" fillId="0" borderId="4" xfId="0" applyNumberFormat="1" applyBorder="1"/>
    <xf numFmtId="0" fontId="5" fillId="0" borderId="5" xfId="0" applyFont="1" applyBorder="1"/>
    <xf numFmtId="3" fontId="0" fillId="0" borderId="6" xfId="0" applyNumberFormat="1" applyBorder="1"/>
    <xf numFmtId="0" fontId="5" fillId="0" borderId="7" xfId="0" applyFont="1" applyBorder="1"/>
    <xf numFmtId="3" fontId="0" fillId="0" borderId="8" xfId="0" applyNumberFormat="1" applyBorder="1"/>
    <xf numFmtId="9" fontId="0" fillId="0" borderId="0" xfId="0" applyNumberFormat="1"/>
    <xf numFmtId="4" fontId="1" fillId="0" borderId="0" xfId="0" applyNumberFormat="1" applyFont="1"/>
    <xf numFmtId="9" fontId="4" fillId="0" borderId="0" xfId="0" applyNumberFormat="1" applyFont="1"/>
    <xf numFmtId="0" fontId="5" fillId="0" borderId="3" xfId="0" applyFont="1" applyBorder="1"/>
    <xf numFmtId="0" fontId="5" fillId="0" borderId="0" xfId="0" applyFont="1"/>
    <xf numFmtId="0" fontId="5" fillId="0" borderId="1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2DE79E-2433-48BA-AB96-5AE8B2DBA898}">
  <we:reference id="0986d9dd-94f1-4b67-978d-c4cf6e6142a8" version="21.5.1.1" store="EXCatalog" storeType="EXCatalog"/>
  <we:alternateReferences>
    <we:reference id="WA200000018" version="21.5.1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2EA9-208F-4994-90D1-2E72234FDDB4}">
  <dimension ref="G3:EQ21"/>
  <sheetViews>
    <sheetView workbookViewId="0">
      <selection activeCell="I8" sqref="I8"/>
    </sheetView>
  </sheetViews>
  <sheetFormatPr defaultRowHeight="14.3" x14ac:dyDescent="0.25"/>
  <cols>
    <col min="6" max="6" width="13.25" bestFit="1" customWidth="1"/>
  </cols>
  <sheetData>
    <row r="3" spans="7:9" x14ac:dyDescent="0.25">
      <c r="G3" t="s">
        <v>6</v>
      </c>
    </row>
    <row r="6" spans="7:9" x14ac:dyDescent="0.25">
      <c r="G6" t="s">
        <v>0</v>
      </c>
      <c r="H6" s="3">
        <v>9.1999999999999993</v>
      </c>
    </row>
    <row r="7" spans="7:9" x14ac:dyDescent="0.25">
      <c r="G7" t="s">
        <v>1</v>
      </c>
      <c r="H7" s="4">
        <v>2.4849999999999999</v>
      </c>
    </row>
    <row r="8" spans="7:9" x14ac:dyDescent="0.25">
      <c r="G8" t="s">
        <v>2</v>
      </c>
      <c r="H8" s="1">
        <f>H7*H6</f>
        <v>22.861999999999998</v>
      </c>
    </row>
    <row r="9" spans="7:9" x14ac:dyDescent="0.25">
      <c r="G9" t="s">
        <v>3</v>
      </c>
      <c r="H9" s="1">
        <f>0.08882 + 0.012841+2.893</f>
        <v>2.9946609999999998</v>
      </c>
      <c r="I9" t="s">
        <v>7</v>
      </c>
    </row>
    <row r="10" spans="7:9" x14ac:dyDescent="0.25">
      <c r="G10" t="s">
        <v>4</v>
      </c>
      <c r="H10" s="1">
        <f>0.212+0.04+1.978+0.521+2.28</f>
        <v>5.0309999999999997</v>
      </c>
      <c r="I10" t="s">
        <v>7</v>
      </c>
    </row>
    <row r="11" spans="7:9" x14ac:dyDescent="0.25">
      <c r="G11" t="s">
        <v>5</v>
      </c>
      <c r="H11" s="1">
        <f>H8+H10-H9</f>
        <v>24.898338999999996</v>
      </c>
    </row>
    <row r="17" spans="7:147" x14ac:dyDescent="0.25"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7:147" x14ac:dyDescent="0.25">
      <c r="G18" s="16"/>
    </row>
    <row r="20" spans="7:147" x14ac:dyDescent="0.25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</row>
    <row r="21" spans="7:147" x14ac:dyDescent="0.25">
      <c r="G21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2541-0814-418E-8C1B-18F60ABE0B59}">
  <dimension ref="A2:L63"/>
  <sheetViews>
    <sheetView tabSelected="1" workbookViewId="0">
      <pane xSplit="2" ySplit="2" topLeftCell="C33" activePane="bottomRight" state="frozen"/>
      <selection pane="topRight" activeCell="C1" sqref="C1"/>
      <selection pane="bottomLeft" activeCell="A3" sqref="A3"/>
      <selection pane="bottomRight" activeCell="B40" sqref="B40"/>
    </sheetView>
  </sheetViews>
  <sheetFormatPr defaultRowHeight="14.3" x14ac:dyDescent="0.25"/>
  <cols>
    <col min="1" max="1" width="16" style="22" customWidth="1"/>
    <col min="2" max="2" width="29.25" bestFit="1" customWidth="1"/>
    <col min="3" max="6" width="13" customWidth="1"/>
    <col min="7" max="10" width="12.25" customWidth="1"/>
    <col min="11" max="11" width="12.75" bestFit="1" customWidth="1"/>
  </cols>
  <sheetData>
    <row r="2" spans="1:12" x14ac:dyDescent="0.25">
      <c r="C2" t="s">
        <v>39</v>
      </c>
      <c r="D2" t="s">
        <v>40</v>
      </c>
      <c r="E2" t="s">
        <v>41</v>
      </c>
      <c r="F2" t="s">
        <v>42</v>
      </c>
      <c r="G2" t="s">
        <v>26</v>
      </c>
      <c r="H2" t="s">
        <v>25</v>
      </c>
      <c r="I2" t="s">
        <v>24</v>
      </c>
      <c r="J2" t="s">
        <v>23</v>
      </c>
      <c r="K2" t="s">
        <v>22</v>
      </c>
    </row>
    <row r="3" spans="1:12" x14ac:dyDescent="0.25">
      <c r="A3" s="22" t="s">
        <v>60</v>
      </c>
      <c r="B3" t="s">
        <v>8</v>
      </c>
      <c r="C3" s="2">
        <v>17771017</v>
      </c>
      <c r="G3" s="2">
        <v>20624573</v>
      </c>
      <c r="K3" s="2">
        <f>20362544</f>
        <v>20362544</v>
      </c>
    </row>
    <row r="4" spans="1:12" x14ac:dyDescent="0.25">
      <c r="A4" s="22" t="s">
        <v>61</v>
      </c>
      <c r="B4" t="s">
        <v>9</v>
      </c>
      <c r="C4" s="2">
        <f>SUM(C6:C13)</f>
        <v>18609108</v>
      </c>
      <c r="G4" s="2">
        <f>SUM(G6:G13)</f>
        <v>21118951</v>
      </c>
      <c r="K4" s="2">
        <f>SUM(K6:K13)</f>
        <v>20835184</v>
      </c>
    </row>
    <row r="5" spans="1:12" s="5" customFormat="1" x14ac:dyDescent="0.25">
      <c r="A5" s="22" t="s">
        <v>62</v>
      </c>
      <c r="B5" s="5" t="s">
        <v>27</v>
      </c>
      <c r="C5" s="6">
        <f>C3-C4</f>
        <v>-838091</v>
      </c>
      <c r="G5" s="6">
        <f>G3-G4</f>
        <v>-494378</v>
      </c>
      <c r="K5" s="6">
        <f>K3-K4</f>
        <v>-472640</v>
      </c>
    </row>
    <row r="6" spans="1:12" x14ac:dyDescent="0.25">
      <c r="B6" s="9" t="s">
        <v>10</v>
      </c>
      <c r="C6" s="11">
        <v>733868</v>
      </c>
      <c r="D6" s="19"/>
      <c r="E6" s="19"/>
      <c r="F6" s="19"/>
      <c r="G6" s="11">
        <v>843732</v>
      </c>
      <c r="H6" s="10"/>
      <c r="I6" s="10"/>
      <c r="J6" s="10"/>
      <c r="K6" s="11">
        <v>1001154</v>
      </c>
    </row>
    <row r="7" spans="1:12" x14ac:dyDescent="0.25">
      <c r="B7" s="12" t="s">
        <v>11</v>
      </c>
      <c r="C7" s="13">
        <v>82811</v>
      </c>
      <c r="D7" s="20"/>
      <c r="E7" s="20"/>
      <c r="F7" s="20"/>
      <c r="G7" s="13">
        <v>58637</v>
      </c>
      <c r="K7" s="13">
        <v>57740</v>
      </c>
    </row>
    <row r="8" spans="1:12" x14ac:dyDescent="0.25">
      <c r="B8" s="12" t="s">
        <v>12</v>
      </c>
      <c r="C8" s="13">
        <v>12485860</v>
      </c>
      <c r="D8" s="20"/>
      <c r="E8" s="20"/>
      <c r="F8" s="20"/>
      <c r="G8" s="13">
        <v>15036052</v>
      </c>
      <c r="K8" s="13">
        <v>14703478</v>
      </c>
    </row>
    <row r="9" spans="1:12" x14ac:dyDescent="0.25">
      <c r="B9" s="12" t="s">
        <v>13</v>
      </c>
      <c r="C9" s="13">
        <v>34711</v>
      </c>
      <c r="D9" s="20"/>
      <c r="E9" s="20"/>
      <c r="F9" s="20"/>
      <c r="G9" s="13">
        <v>48993</v>
      </c>
      <c r="K9" s="13">
        <v>42097</v>
      </c>
    </row>
    <row r="10" spans="1:12" x14ac:dyDescent="0.25">
      <c r="B10" s="12" t="s">
        <v>14</v>
      </c>
      <c r="C10" s="13">
        <v>4227572</v>
      </c>
      <c r="D10" s="20"/>
      <c r="E10" s="20"/>
      <c r="F10" s="20"/>
      <c r="G10" s="13">
        <v>4417470</v>
      </c>
      <c r="K10" s="13">
        <v>4105321</v>
      </c>
    </row>
    <row r="11" spans="1:12" x14ac:dyDescent="0.25">
      <c r="B11" s="12" t="s">
        <v>15</v>
      </c>
      <c r="C11" s="13">
        <v>722844</v>
      </c>
      <c r="D11" s="20"/>
      <c r="E11" s="20"/>
      <c r="F11" s="20"/>
      <c r="G11" s="13">
        <v>575629</v>
      </c>
      <c r="K11" s="13">
        <v>662995</v>
      </c>
    </row>
    <row r="12" spans="1:12" x14ac:dyDescent="0.25">
      <c r="B12" s="12" t="s">
        <v>16</v>
      </c>
      <c r="C12" s="13">
        <v>321442</v>
      </c>
      <c r="D12" s="20"/>
      <c r="E12" s="20"/>
      <c r="F12" s="20"/>
      <c r="G12" s="13">
        <v>138438</v>
      </c>
      <c r="K12" s="13">
        <v>262399</v>
      </c>
    </row>
    <row r="13" spans="1:12" x14ac:dyDescent="0.25">
      <c r="B13" s="14" t="s">
        <v>17</v>
      </c>
      <c r="C13" s="15">
        <v>0</v>
      </c>
      <c r="D13" s="21"/>
      <c r="E13" s="21"/>
      <c r="F13" s="21"/>
      <c r="G13" s="15">
        <v>0</v>
      </c>
      <c r="H13" s="8"/>
      <c r="I13" s="8"/>
      <c r="J13" s="8"/>
      <c r="K13" s="15">
        <v>0</v>
      </c>
    </row>
    <row r="14" spans="1:12" x14ac:dyDescent="0.25">
      <c r="B14" s="7" t="s">
        <v>18</v>
      </c>
      <c r="C14" s="2">
        <v>518785</v>
      </c>
      <c r="D14" s="7"/>
      <c r="E14" s="7"/>
      <c r="F14" s="7"/>
      <c r="G14" s="2">
        <v>145882</v>
      </c>
      <c r="K14" s="2">
        <v>167309</v>
      </c>
    </row>
    <row r="15" spans="1:12" x14ac:dyDescent="0.25">
      <c r="B15" s="7" t="s">
        <v>19</v>
      </c>
      <c r="C15" s="2">
        <v>23012</v>
      </c>
      <c r="D15" s="7"/>
      <c r="E15" s="7"/>
      <c r="F15" s="7"/>
      <c r="G15" s="2">
        <v>9456</v>
      </c>
      <c r="K15" s="2">
        <v>20085</v>
      </c>
    </row>
    <row r="16" spans="1:12" s="5" customFormat="1" x14ac:dyDescent="0.25">
      <c r="A16" s="22" t="s">
        <v>63</v>
      </c>
      <c r="B16" s="5" t="s">
        <v>29</v>
      </c>
      <c r="C16" s="6">
        <f>C5+C14-C15</f>
        <v>-342318</v>
      </c>
      <c r="G16" s="6">
        <f>G5+G14-G15</f>
        <v>-357952</v>
      </c>
      <c r="K16" s="6">
        <f>K5+K14-K15</f>
        <v>-325416</v>
      </c>
      <c r="L16" s="6"/>
    </row>
    <row r="17" spans="1:11" x14ac:dyDescent="0.25">
      <c r="B17" t="s">
        <v>20</v>
      </c>
      <c r="C17" s="2">
        <v>20750</v>
      </c>
      <c r="G17" s="2">
        <v>11617</v>
      </c>
      <c r="K17" s="2">
        <v>8757</v>
      </c>
    </row>
    <row r="18" spans="1:11" x14ac:dyDescent="0.25">
      <c r="B18" t="s">
        <v>28</v>
      </c>
      <c r="C18" s="2">
        <v>79762</v>
      </c>
      <c r="G18" s="2">
        <v>150735</v>
      </c>
      <c r="K18" s="2">
        <v>131431</v>
      </c>
    </row>
    <row r="19" spans="1:11" s="5" customFormat="1" x14ac:dyDescent="0.25">
      <c r="A19" s="22" t="s">
        <v>64</v>
      </c>
      <c r="B19" s="5" t="s">
        <v>21</v>
      </c>
      <c r="C19" s="6">
        <f>C16+C17-C18</f>
        <v>-401330</v>
      </c>
      <c r="G19" s="6">
        <f>G16+G17-G18</f>
        <v>-497070</v>
      </c>
      <c r="K19" s="6">
        <f>K16+K17-K18</f>
        <v>-448090</v>
      </c>
    </row>
    <row r="20" spans="1:11" x14ac:dyDescent="0.25">
      <c r="A20" s="22" t="s">
        <v>65</v>
      </c>
      <c r="B20" t="s">
        <v>31</v>
      </c>
      <c r="C20" s="2">
        <v>386090</v>
      </c>
      <c r="G20" s="2">
        <v>324443</v>
      </c>
      <c r="K20" s="2">
        <v>275179</v>
      </c>
    </row>
    <row r="21" spans="1:11" s="5" customFormat="1" x14ac:dyDescent="0.25">
      <c r="A21" s="22" t="s">
        <v>66</v>
      </c>
      <c r="B21" s="5" t="s">
        <v>32</v>
      </c>
      <c r="C21" s="6">
        <f>C19-C20</f>
        <v>-787420</v>
      </c>
      <c r="G21" s="6">
        <f>G19-G20</f>
        <v>-821513</v>
      </c>
      <c r="K21" s="6">
        <f>K19-K20</f>
        <v>-723269</v>
      </c>
    </row>
    <row r="22" spans="1:11" x14ac:dyDescent="0.25">
      <c r="A22" s="22" t="s">
        <v>1</v>
      </c>
      <c r="B22" t="s">
        <v>33</v>
      </c>
      <c r="C22" s="2">
        <v>2485775</v>
      </c>
      <c r="G22" s="2">
        <v>2485775</v>
      </c>
      <c r="K22" s="2">
        <v>2485775</v>
      </c>
    </row>
    <row r="23" spans="1:11" s="7" customFormat="1" x14ac:dyDescent="0.25">
      <c r="A23" s="22"/>
      <c r="B23" s="7" t="s">
        <v>34</v>
      </c>
      <c r="C23" s="17">
        <f>C21/C22</f>
        <v>-0.31677042371091513</v>
      </c>
      <c r="G23" s="17">
        <f>G21/G22</f>
        <v>-0.33048566342488761</v>
      </c>
      <c r="K23" s="17">
        <f>K21/K22</f>
        <v>-0.29096318049702807</v>
      </c>
    </row>
    <row r="25" spans="1:11" s="5" customFormat="1" x14ac:dyDescent="0.25">
      <c r="A25" s="22"/>
      <c r="B25" s="5" t="s">
        <v>30</v>
      </c>
      <c r="C25" s="18">
        <f>C5/C3</f>
        <v>-4.7160553613785863E-2</v>
      </c>
      <c r="G25" s="18">
        <f>G5/G3</f>
        <v>-2.397033868289055E-2</v>
      </c>
      <c r="H25" s="18"/>
      <c r="I25" s="18"/>
      <c r="J25" s="18"/>
      <c r="K25" s="18">
        <f>K5/K3</f>
        <v>-2.3211245117505948E-2</v>
      </c>
    </row>
    <row r="26" spans="1:11" x14ac:dyDescent="0.25">
      <c r="B26" t="s">
        <v>36</v>
      </c>
      <c r="C26" s="16">
        <f>C16/C3</f>
        <v>-1.9262712989357895E-2</v>
      </c>
      <c r="G26" s="16">
        <f>G16/G3</f>
        <v>-1.7355607798522667E-2</v>
      </c>
      <c r="H26" s="16"/>
      <c r="I26" s="16"/>
      <c r="J26" s="16"/>
      <c r="K26" s="16">
        <f>K16/K3</f>
        <v>-1.5981107272254391E-2</v>
      </c>
    </row>
    <row r="27" spans="1:11" x14ac:dyDescent="0.25">
      <c r="B27" t="s">
        <v>35</v>
      </c>
      <c r="C27" s="16">
        <f>C21/C3</f>
        <v>-4.4309225521533178E-2</v>
      </c>
      <c r="G27" s="16">
        <f>G21/G3</f>
        <v>-3.9831757971425637E-2</v>
      </c>
      <c r="H27" s="16"/>
      <c r="I27" s="16"/>
      <c r="J27" s="16"/>
      <c r="K27" s="16">
        <f>K21/K3</f>
        <v>-3.5519579478870619E-2</v>
      </c>
    </row>
    <row r="29" spans="1:11" s="5" customFormat="1" x14ac:dyDescent="0.25">
      <c r="A29" s="22"/>
      <c r="B29" s="5" t="s">
        <v>37</v>
      </c>
      <c r="G29" s="18">
        <f>G3/C3-1</f>
        <v>0.16057359013274253</v>
      </c>
      <c r="K29" s="18">
        <f>K3/G3-1</f>
        <v>-1.2704699389412766E-2</v>
      </c>
    </row>
    <row r="30" spans="1:11" x14ac:dyDescent="0.25">
      <c r="B30" t="s">
        <v>38</v>
      </c>
      <c r="G30" s="18">
        <f>G4/C4-1</f>
        <v>0.13487175204743829</v>
      </c>
      <c r="K30" s="18">
        <f>K4/G4-1</f>
        <v>-1.3436604876823632E-2</v>
      </c>
    </row>
    <row r="31" spans="1:11" x14ac:dyDescent="0.25">
      <c r="G31" s="18"/>
      <c r="K31" s="18"/>
    </row>
    <row r="32" spans="1:11" x14ac:dyDescent="0.25"/>
    <row r="33" spans="1:11" x14ac:dyDescent="0.25">
      <c r="A33" s="22" t="s">
        <v>43</v>
      </c>
    </row>
    <row r="34" spans="1:11" x14ac:dyDescent="0.25">
      <c r="B34" t="s">
        <v>44</v>
      </c>
      <c r="G34" s="2">
        <v>630548</v>
      </c>
      <c r="K34" s="2">
        <v>581227</v>
      </c>
    </row>
    <row r="35" spans="1:11" x14ac:dyDescent="0.25">
      <c r="B35" t="s">
        <v>45</v>
      </c>
      <c r="G35" s="2">
        <v>15017090</v>
      </c>
      <c r="K35" s="2">
        <v>14701314</v>
      </c>
    </row>
    <row r="36" spans="1:11" x14ac:dyDescent="0.25">
      <c r="B36" t="s">
        <v>46</v>
      </c>
      <c r="G36" s="2">
        <v>824229</v>
      </c>
      <c r="K36" s="2">
        <v>719179</v>
      </c>
    </row>
    <row r="37" spans="1:11" x14ac:dyDescent="0.25">
      <c r="A37" s="22" t="s">
        <v>47</v>
      </c>
      <c r="B37" t="s">
        <v>59</v>
      </c>
      <c r="G37" s="2">
        <v>1821391</v>
      </c>
      <c r="K37" s="2">
        <v>1821391</v>
      </c>
    </row>
    <row r="38" spans="1:11" x14ac:dyDescent="0.25">
      <c r="B38" t="s">
        <v>48</v>
      </c>
      <c r="G38" s="2">
        <v>86112</v>
      </c>
      <c r="K38" s="2">
        <v>86112</v>
      </c>
    </row>
    <row r="39" spans="1:11" x14ac:dyDescent="0.25">
      <c r="B39" t="s">
        <v>78</v>
      </c>
      <c r="G39" s="2">
        <v>5390</v>
      </c>
      <c r="K39" s="2">
        <v>533</v>
      </c>
    </row>
    <row r="40" spans="1:11" x14ac:dyDescent="0.25">
      <c r="B40" t="s">
        <v>79</v>
      </c>
      <c r="G40" s="2">
        <v>88820</v>
      </c>
      <c r="K40" s="2">
        <v>88820</v>
      </c>
    </row>
    <row r="41" spans="1:11" x14ac:dyDescent="0.25">
      <c r="B41" t="s">
        <v>49</v>
      </c>
      <c r="G41" s="2">
        <v>1960862</v>
      </c>
      <c r="K41" s="2">
        <v>1615838</v>
      </c>
    </row>
    <row r="42" spans="1:11" s="5" customFormat="1" x14ac:dyDescent="0.25">
      <c r="A42" s="22"/>
      <c r="B42" s="5" t="s">
        <v>50</v>
      </c>
      <c r="G42" s="6">
        <f>SUM(G34:G41)</f>
        <v>20434442</v>
      </c>
      <c r="K42" s="6">
        <f>SUM(K34:K41)</f>
        <v>19614414</v>
      </c>
    </row>
    <row r="44" spans="1:11" x14ac:dyDescent="0.25">
      <c r="A44" s="22" t="s">
        <v>52</v>
      </c>
      <c r="B44" t="s">
        <v>51</v>
      </c>
      <c r="G44" s="2">
        <v>14712787</v>
      </c>
      <c r="K44" s="2">
        <v>13332068</v>
      </c>
    </row>
    <row r="45" spans="1:11" x14ac:dyDescent="0.25">
      <c r="B45" t="s">
        <v>53</v>
      </c>
      <c r="G45" s="2">
        <v>299345</v>
      </c>
      <c r="K45" s="2">
        <v>374318</v>
      </c>
    </row>
    <row r="46" spans="1:11" x14ac:dyDescent="0.25">
      <c r="B46" t="s">
        <v>54</v>
      </c>
      <c r="G46" s="2">
        <v>1746602</v>
      </c>
      <c r="K46" s="2">
        <v>1220727</v>
      </c>
    </row>
    <row r="47" spans="1:11" x14ac:dyDescent="0.25">
      <c r="B47" t="s">
        <v>55</v>
      </c>
      <c r="G47" s="2">
        <v>28066</v>
      </c>
      <c r="K47" s="2">
        <v>12841</v>
      </c>
    </row>
    <row r="48" spans="1:11" s="5" customFormat="1" x14ac:dyDescent="0.25">
      <c r="A48" s="22"/>
      <c r="B48" s="5" t="s">
        <v>56</v>
      </c>
      <c r="G48" s="6">
        <f>2555078</f>
        <v>2555078</v>
      </c>
      <c r="K48" s="6">
        <v>2893087</v>
      </c>
    </row>
    <row r="49" spans="1:11" x14ac:dyDescent="0.25">
      <c r="B49" t="s">
        <v>57</v>
      </c>
      <c r="G49" s="2">
        <f>SUM(G44:G48)</f>
        <v>19341878</v>
      </c>
      <c r="K49" s="2">
        <f>SUM(K44:K48)</f>
        <v>17833041</v>
      </c>
    </row>
    <row r="50" spans="1:11" s="5" customFormat="1" x14ac:dyDescent="0.25">
      <c r="A50" s="22"/>
      <c r="B50" s="5" t="s">
        <v>58</v>
      </c>
      <c r="G50" s="6">
        <f>G49+G42</f>
        <v>39776320</v>
      </c>
      <c r="K50" s="6">
        <f>K49+K42</f>
        <v>37447455</v>
      </c>
    </row>
    <row r="51" spans="1:11" x14ac:dyDescent="0.25">
      <c r="G51" s="6"/>
    </row>
    <row r="52" spans="1:11" x14ac:dyDescent="0.25">
      <c r="B52" t="s">
        <v>77</v>
      </c>
      <c r="G52" s="2">
        <v>1143322</v>
      </c>
      <c r="K52" s="2">
        <v>1213167</v>
      </c>
    </row>
    <row r="53" spans="1:11" x14ac:dyDescent="0.25">
      <c r="B53" t="s">
        <v>72</v>
      </c>
      <c r="G53" s="2">
        <v>828394</v>
      </c>
      <c r="K53" s="2">
        <v>847772</v>
      </c>
    </row>
    <row r="54" spans="1:11" x14ac:dyDescent="0.25">
      <c r="B54" s="7" t="s">
        <v>76</v>
      </c>
      <c r="G54" s="2">
        <f>212440+4243</f>
        <v>216683</v>
      </c>
      <c r="K54" s="2">
        <f>217512+4243</f>
        <v>221755</v>
      </c>
    </row>
    <row r="55" spans="1:11" x14ac:dyDescent="0.25">
      <c r="B55" t="s">
        <v>67</v>
      </c>
      <c r="G55" s="6">
        <f>SUM(G52:G54)</f>
        <v>2188399</v>
      </c>
      <c r="K55" s="6">
        <f>SUM(K52:K54)</f>
        <v>2282694</v>
      </c>
    </row>
    <row r="57" spans="1:11" x14ac:dyDescent="0.25">
      <c r="B57" t="s">
        <v>68</v>
      </c>
      <c r="G57" s="2">
        <v>1870668</v>
      </c>
      <c r="K57" s="2">
        <v>1978874</v>
      </c>
    </row>
    <row r="58" spans="1:11" x14ac:dyDescent="0.25">
      <c r="A58" s="22" t="s">
        <v>69</v>
      </c>
      <c r="B58" t="s">
        <v>74</v>
      </c>
      <c r="G58" s="2">
        <v>9584274</v>
      </c>
      <c r="K58" s="2">
        <v>8657314</v>
      </c>
    </row>
    <row r="59" spans="1:11" x14ac:dyDescent="0.25">
      <c r="B59" t="s">
        <v>70</v>
      </c>
      <c r="G59" s="2">
        <v>3720</v>
      </c>
      <c r="K59" s="2">
        <v>0</v>
      </c>
    </row>
    <row r="60" spans="1:11" x14ac:dyDescent="0.25">
      <c r="B60" t="s">
        <v>71</v>
      </c>
      <c r="G60" s="2">
        <f>2883170+608602</f>
        <v>3491772</v>
      </c>
      <c r="K60" s="2">
        <f>2280197+521787</f>
        <v>2801984</v>
      </c>
    </row>
    <row r="61" spans="1:11" x14ac:dyDescent="0.25">
      <c r="B61" t="s">
        <v>72</v>
      </c>
      <c r="G61" s="2">
        <v>1324524</v>
      </c>
      <c r="K61" s="2">
        <v>975461</v>
      </c>
    </row>
    <row r="62" spans="1:11" x14ac:dyDescent="0.25">
      <c r="B62" t="s">
        <v>75</v>
      </c>
      <c r="G62" s="2">
        <f>956788+134049</f>
        <v>1090837</v>
      </c>
      <c r="K62" s="2">
        <f>1261355+179506</f>
        <v>1440861</v>
      </c>
    </row>
    <row r="63" spans="1:11" s="5" customFormat="1" x14ac:dyDescent="0.25">
      <c r="A63" s="22"/>
      <c r="B63" s="5" t="s">
        <v>73</v>
      </c>
      <c r="G63" s="6">
        <f>SUM(G57:G62)</f>
        <v>17365795</v>
      </c>
      <c r="K63" s="6">
        <f>SUM(K57:K62)</f>
        <v>15854494</v>
      </c>
    </row>
  </sheetData>
  <pageMargins left="0.7" right="0.7" top="0.75" bottom="0.75" header="0.3" footer="0.3"/>
  <pageSetup orientation="portrait" r:id="rId1"/>
  <ignoredErrors>
    <ignoredError sqref="C4:K4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Dawid Najdzionek</cp:lastModifiedBy>
  <dcterms:created xsi:type="dcterms:W3CDTF">2024-07-20T14:10:57Z</dcterms:created>
  <dcterms:modified xsi:type="dcterms:W3CDTF">2024-09-26T19:34:21Z</dcterms:modified>
</cp:coreProperties>
</file>