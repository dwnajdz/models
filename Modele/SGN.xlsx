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wid\OneDrive\Pulpit\Modele\"/>
    </mc:Choice>
  </mc:AlternateContent>
  <xr:revisionPtr revIDLastSave="0" documentId="13_ncr:1_{2EBF29AD-8663-46EC-BDD4-0FD0BBB40AF9}" xr6:coauthVersionLast="47" xr6:coauthVersionMax="47" xr10:uidLastSave="{00000000-0000-0000-0000-000000000000}"/>
  <bookViews>
    <workbookView xWindow="19095" yWindow="0" windowWidth="19410" windowHeight="20985" activeTab="1" xr2:uid="{C0C8F4ED-B4DD-4803-B582-AC11CBA9BA2F}"/>
  </bookViews>
  <sheets>
    <sheet name="info" sheetId="2" r:id="rId1"/>
    <sheet name="RZ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9" i="1"/>
  <c r="G28" i="1"/>
  <c r="G27" i="1"/>
  <c r="H8" i="2"/>
  <c r="C17" i="1"/>
  <c r="C8" i="1"/>
  <c r="C5" i="1"/>
  <c r="C9" i="1" l="1"/>
  <c r="C14" i="1" s="1"/>
  <c r="C18" i="1" s="1"/>
  <c r="C22" i="1"/>
  <c r="C23" i="1" l="1"/>
  <c r="C32" i="1"/>
  <c r="C20" i="1"/>
  <c r="C25" i="1" s="1"/>
  <c r="C24" i="1"/>
  <c r="G17" i="1" l="1"/>
  <c r="G8" i="1"/>
  <c r="G5" i="1"/>
  <c r="G22" i="1" l="1"/>
  <c r="G9" i="1"/>
  <c r="G14" i="1" s="1"/>
  <c r="G18" i="1" l="1"/>
  <c r="G20" i="1" s="1"/>
  <c r="G25" i="1" s="1"/>
  <c r="G23" i="1"/>
  <c r="G32" i="1" l="1"/>
  <c r="G24" i="1"/>
</calcChain>
</file>

<file path=xl/sharedStrings.xml><?xml version="1.0" encoding="utf-8"?>
<sst xmlns="http://schemas.openxmlformats.org/spreadsheetml/2006/main" count="45" uniqueCount="45">
  <si>
    <t>Przychody netto ze sprzedaży</t>
  </si>
  <si>
    <t>Przychody ze sprzedaży produktów i usług</t>
  </si>
  <si>
    <t>Przychody ze sprzedaży towarów i materiałów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</si>
  <si>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</si>
  <si>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</si>
  <si>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</si>
  <si>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</si>
  <si>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</si>
  <si>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</si>
  <si>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</si>
  <si>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</si>
  <si>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</si>
  <si>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Koszt wytworzenia produktów i usług</t>
  </si>
  <si>
    <t>Wartość sprzedanych towarów i materiałów</t>
  </si>
  <si>
    <t>Zysk brutto ze sprzedaży</t>
  </si>
  <si>
    <t>Koszty sprzedaży</t>
  </si>
  <si>
    <t>Koszt sprzedaży towarów, produktów i materiałów</t>
  </si>
  <si>
    <t>Koszty zarządu</t>
  </si>
  <si>
    <t>Pozostałe przychody operacyjne</t>
  </si>
  <si>
    <t>Pozostałe koszty operacyjne</t>
  </si>
  <si>
    <t>Zysk z działalności operacyjnej</t>
  </si>
  <si>
    <t>Przychody finansowe</t>
  </si>
  <si>
    <t>Koszty finansowe</t>
  </si>
  <si>
    <t>Wynik na operacjach finansowych</t>
  </si>
  <si>
    <t>Zysk pretax</t>
  </si>
  <si>
    <t>Podatek</t>
  </si>
  <si>
    <t>Zysk netto</t>
  </si>
  <si>
    <t>Stawka podatku</t>
  </si>
  <si>
    <t>Marża ze sprzedaży</t>
  </si>
  <si>
    <t>Marza operacyjna</t>
  </si>
  <si>
    <t>Marża brutto</t>
  </si>
  <si>
    <t>Marża netto</t>
  </si>
  <si>
    <t>SYGNITY</t>
  </si>
  <si>
    <t>Ticker:</t>
  </si>
  <si>
    <t>Name:</t>
  </si>
  <si>
    <t>GPW.SGN</t>
  </si>
  <si>
    <t>Shares</t>
  </si>
  <si>
    <t>(tys.)</t>
  </si>
  <si>
    <t>Share price</t>
  </si>
  <si>
    <t>8/25/2025</t>
  </si>
  <si>
    <t>Mkt. Cap</t>
  </si>
  <si>
    <t>Zysk brutto R/R</t>
  </si>
  <si>
    <t>Zysk operacyjny R/R</t>
  </si>
  <si>
    <t>Zysk pretax R/R</t>
  </si>
  <si>
    <t>Zysk netto R/R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</si>
</sst>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13B3-8E6A-4296-90FE-EBC57C6503F4}">
  <dimension ref="G4:J15"/>
  <sheetViews>
    <sheetView workbookViewId="0">
      <selection activeCell="J15" sqref="J15"/>
    </sheetView>
  </sheetViews>
  <sheetFormatPr defaultRowHeight="15" x14ac:dyDescent="0.25"/>
  <cols>
    <col min="8" max="8" width="11.7109375" bestFit="1" customWidth="1"/>
    <col min="10" max="10" width="15.42578125" bestFit="1" customWidth="1"/>
  </cols>
  <sheetData>
    <row r="4" spans="7:10" x14ac:dyDescent="0.25">
      <c r="G4" t="s">
        <v>34</v>
      </c>
      <c r="H4" t="s">
        <v>32</v>
      </c>
    </row>
    <row r="5" spans="7:10" x14ac:dyDescent="0.25">
      <c r="G5" t="s">
        <v>33</v>
      </c>
      <c r="H5" t="s">
        <v>35</v>
      </c>
    </row>
    <row r="6" spans="7:10" x14ac:dyDescent="0.25">
      <c r="G6" t="s">
        <v>36</v>
      </c>
      <c r="H6" s="2">
        <v>22759</v>
      </c>
      <c r="I6" t="s">
        <v>37</v>
      </c>
    </row>
    <row r="7" spans="7:10" x14ac:dyDescent="0.25">
      <c r="G7" t="s">
        <v>38</v>
      </c>
      <c r="H7">
        <v>111</v>
      </c>
      <c r="I7" t="s">
        <v>39</v>
      </c>
    </row>
    <row r="8" spans="7:10" x14ac:dyDescent="0.25">
      <c r="G8" t="s">
        <v>40</v>
      </c>
      <c r="H8" s="2">
        <f>H6*H7</f>
        <v>2526249</v>
      </c>
    </row>
    <row r="15" spans="7:10" x14ac:dyDescent="0.25">
      <c r="J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14E2-79F3-41AF-A060-2A454F9AD3E2}">
  <dimension ref="B2:K3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" sqref="F2"/>
    </sheetView>
  </sheetViews>
  <sheetFormatPr defaultRowHeight="15" x14ac:dyDescent="0.25"/>
  <cols>
    <col min="2" max="2" width="46.7109375" bestFit="1" customWidth="1"/>
  </cols>
  <sheetData>
    <row r="2" spans="2:11" x14ac:dyDescent="0.25"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2:11" x14ac:dyDescent="0.25">
      <c r="B3" t="s">
        <v>1</v>
      </c>
      <c r="C3" s="2">
        <v>48388</v>
      </c>
      <c r="G3" s="2">
        <v>52170</v>
      </c>
    </row>
    <row r="4" spans="2:11" x14ac:dyDescent="0.25">
      <c r="B4" t="s">
        <v>2</v>
      </c>
      <c r="C4" s="2">
        <v>45</v>
      </c>
      <c r="G4" s="2">
        <v>353</v>
      </c>
    </row>
    <row r="5" spans="2:11" s="1" customFormat="1" x14ac:dyDescent="0.25">
      <c r="B5" s="1" t="s">
        <v>0</v>
      </c>
      <c r="C5" s="3">
        <f>SUM(C3:C4)</f>
        <v>48433</v>
      </c>
      <c r="G5" s="3">
        <f>SUM(G3:G4)</f>
        <v>52523</v>
      </c>
    </row>
    <row r="6" spans="2:11" x14ac:dyDescent="0.25">
      <c r="B6" t="s">
        <v>12</v>
      </c>
      <c r="C6" s="2">
        <v>33050</v>
      </c>
      <c r="G6" s="2">
        <v>32068</v>
      </c>
    </row>
    <row r="7" spans="2:11" x14ac:dyDescent="0.25">
      <c r="B7" t="s">
        <v>13</v>
      </c>
      <c r="C7" s="2">
        <v>25</v>
      </c>
      <c r="G7" s="2">
        <v>200</v>
      </c>
    </row>
    <row r="8" spans="2:11" s="1" customFormat="1" x14ac:dyDescent="0.25">
      <c r="B8" s="1" t="s">
        <v>16</v>
      </c>
      <c r="C8" s="3">
        <f>SUM(C6:C7)</f>
        <v>33075</v>
      </c>
      <c r="G8" s="3">
        <f>SUM(G6:G7)</f>
        <v>32268</v>
      </c>
    </row>
    <row r="9" spans="2:11" s="1" customFormat="1" x14ac:dyDescent="0.25">
      <c r="B9" s="1" t="s">
        <v>14</v>
      </c>
      <c r="C9" s="3">
        <f>C5-C8</f>
        <v>15358</v>
      </c>
      <c r="G9" s="3">
        <f>G5-G8</f>
        <v>20255</v>
      </c>
    </row>
    <row r="10" spans="2:11" s="4" customFormat="1" x14ac:dyDescent="0.25">
      <c r="B10" s="4" t="s">
        <v>15</v>
      </c>
      <c r="C10" s="5">
        <v>976</v>
      </c>
      <c r="G10" s="5">
        <v>812</v>
      </c>
    </row>
    <row r="11" spans="2:11" x14ac:dyDescent="0.25">
      <c r="B11" t="s">
        <v>17</v>
      </c>
      <c r="C11" s="2">
        <v>7954</v>
      </c>
      <c r="G11" s="2">
        <v>9551</v>
      </c>
    </row>
    <row r="12" spans="2:11" x14ac:dyDescent="0.25">
      <c r="B12" t="s">
        <v>18</v>
      </c>
      <c r="C12" s="2">
        <v>393</v>
      </c>
      <c r="G12" s="2">
        <v>565</v>
      </c>
    </row>
    <row r="13" spans="2:11" x14ac:dyDescent="0.25">
      <c r="B13" t="s">
        <v>19</v>
      </c>
      <c r="C13" s="2">
        <v>15</v>
      </c>
      <c r="G13" s="2">
        <v>0</v>
      </c>
    </row>
    <row r="14" spans="2:11" s="1" customFormat="1" x14ac:dyDescent="0.25">
      <c r="B14" s="1" t="s">
        <v>20</v>
      </c>
      <c r="C14" s="3">
        <f>C9-SUM(C10:C11)+C12-C13</f>
        <v>6806</v>
      </c>
      <c r="G14" s="3">
        <f>G9-SUM(G10:G11)+G12-G13</f>
        <v>10457</v>
      </c>
    </row>
    <row r="15" spans="2:11" x14ac:dyDescent="0.25">
      <c r="B15" t="s">
        <v>21</v>
      </c>
      <c r="C15" s="2">
        <v>295</v>
      </c>
      <c r="G15" s="2">
        <v>1143</v>
      </c>
    </row>
    <row r="16" spans="2:11" x14ac:dyDescent="0.25">
      <c r="B16" t="s">
        <v>22</v>
      </c>
      <c r="C16" s="2">
        <v>464</v>
      </c>
      <c r="G16" s="2">
        <v>387</v>
      </c>
    </row>
    <row r="17" spans="2:7" s="1" customFormat="1" x14ac:dyDescent="0.25">
      <c r="B17" s="1" t="s">
        <v>23</v>
      </c>
      <c r="C17" s="3">
        <f>C15-C16</f>
        <v>-169</v>
      </c>
      <c r="G17" s="3">
        <f>G15-G16</f>
        <v>756</v>
      </c>
    </row>
    <row r="18" spans="2:7" s="1" customFormat="1" x14ac:dyDescent="0.25">
      <c r="B18" s="1" t="s">
        <v>24</v>
      </c>
      <c r="C18" s="3">
        <f>C14+C17</f>
        <v>6637</v>
      </c>
      <c r="G18" s="3">
        <f>G14+G17</f>
        <v>11213</v>
      </c>
    </row>
    <row r="19" spans="2:7" s="4" customFormat="1" x14ac:dyDescent="0.25">
      <c r="B19" s="4" t="s">
        <v>25</v>
      </c>
      <c r="C19" s="5">
        <v>730</v>
      </c>
      <c r="G19" s="5">
        <v>2161</v>
      </c>
    </row>
    <row r="20" spans="2:7" s="1" customFormat="1" x14ac:dyDescent="0.25">
      <c r="B20" s="1" t="s">
        <v>26</v>
      </c>
      <c r="C20" s="3">
        <f>C18-C19</f>
        <v>5907</v>
      </c>
      <c r="G20" s="3">
        <f>G18-G19</f>
        <v>9052</v>
      </c>
    </row>
    <row r="22" spans="2:7" x14ac:dyDescent="0.25">
      <c r="B22" t="s">
        <v>28</v>
      </c>
      <c r="C22" s="6">
        <f>C8/C5</f>
        <v>0.68290215349038874</v>
      </c>
      <c r="G22" s="6">
        <f>G8/G5</f>
        <v>0.61435942349066119</v>
      </c>
    </row>
    <row r="23" spans="2:7" x14ac:dyDescent="0.25">
      <c r="B23" t="s">
        <v>29</v>
      </c>
      <c r="C23" s="6">
        <f>C14/C5</f>
        <v>0.14052402287696406</v>
      </c>
      <c r="G23" s="6">
        <f>G14/G5</f>
        <v>0.19909373036574454</v>
      </c>
    </row>
    <row r="24" spans="2:7" s="1" customFormat="1" x14ac:dyDescent="0.25">
      <c r="B24" s="1" t="s">
        <v>30</v>
      </c>
      <c r="C24" s="7">
        <f>C18/C5</f>
        <v>0.13703466644643114</v>
      </c>
      <c r="G24" s="7">
        <f>G18/G5</f>
        <v>0.21348742455686082</v>
      </c>
    </row>
    <row r="25" spans="2:7" x14ac:dyDescent="0.25">
      <c r="B25" t="s">
        <v>31</v>
      </c>
      <c r="C25" s="6">
        <f>C20/C5</f>
        <v>0.12196229843288667</v>
      </c>
      <c r="G25" s="6">
        <f>G20/G5</f>
        <v>0.17234354473278374</v>
      </c>
    </row>
    <row r="26" spans="2:7" x14ac:dyDescent="0.25">
      <c r="C26" s="6"/>
      <c r="G26" s="6"/>
    </row>
    <row r="27" spans="2:7" s="1" customFormat="1" x14ac:dyDescent="0.25">
      <c r="B27" s="1" t="s">
        <v>41</v>
      </c>
      <c r="C27" s="7"/>
      <c r="G27" s="7">
        <f>G9/C9-1</f>
        <v>0.31885662195598385</v>
      </c>
    </row>
    <row r="28" spans="2:7" x14ac:dyDescent="0.25">
      <c r="B28" t="s">
        <v>42</v>
      </c>
      <c r="C28" s="6"/>
      <c r="G28" s="6">
        <f>G14/C14-1</f>
        <v>0.53643843667352331</v>
      </c>
    </row>
    <row r="29" spans="2:7" x14ac:dyDescent="0.25">
      <c r="B29" t="s">
        <v>43</v>
      </c>
      <c r="C29" s="6"/>
      <c r="G29" s="6">
        <f>G18/C18-1</f>
        <v>0.6894681331927075</v>
      </c>
    </row>
    <row r="30" spans="2:7" x14ac:dyDescent="0.25">
      <c r="B30" t="s">
        <v>44</v>
      </c>
      <c r="C30" s="6"/>
      <c r="G30" s="6">
        <f>G20/C20-1</f>
        <v>0.53241916370407982</v>
      </c>
    </row>
    <row r="32" spans="2:7" x14ac:dyDescent="0.25">
      <c r="B32" t="s">
        <v>27</v>
      </c>
      <c r="C32" s="6">
        <f>C19/C18</f>
        <v>0.10998945306614434</v>
      </c>
      <c r="G32" s="6">
        <f>G19/G18</f>
        <v>0.19272273254258451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RZiS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Najdzionek</dc:creator>
  <cp:lastModifiedBy>Dawid Najdzionek</cp:lastModifiedBy>
  <dcterms:created xsi:type="dcterms:W3CDTF">2025-08-25T18:19:48Z</dcterms:created>
  <dcterms:modified xsi:type="dcterms:W3CDTF">2025-08-25T19:49:16Z</dcterms:modified>
</cp:coreProperties>
</file>