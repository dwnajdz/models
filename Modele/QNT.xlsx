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wid\OneDrive\Pulpit\Modele\"/>
    </mc:Choice>
  </mc:AlternateContent>
  <xr:revisionPtr revIDLastSave="0" documentId="13_ncr:1_{1DABD54E-E6CC-4A2B-BA54-7C45296C6FF4}" xr6:coauthVersionLast="47" xr6:coauthVersionMax="47" xr10:uidLastSave="{00000000-0000-0000-0000-000000000000}"/>
  <bookViews>
    <workbookView xWindow="-109" yWindow="-109" windowWidth="34995" windowHeight="19060" activeTab="1" xr2:uid="{86AFA20A-9590-4873-984F-983CB8FE383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" l="1"/>
  <c r="K20" i="2" s="1"/>
  <c r="G71" i="2"/>
  <c r="G60" i="2"/>
  <c r="G47" i="2"/>
  <c r="K71" i="2"/>
  <c r="K60" i="2"/>
  <c r="K47" i="2"/>
  <c r="G27" i="2"/>
  <c r="K27" i="2"/>
  <c r="G26" i="2"/>
  <c r="G5" i="2"/>
  <c r="G20" i="2" s="1"/>
  <c r="J7" i="1"/>
  <c r="J8" i="1"/>
  <c r="J6" i="1"/>
  <c r="K73" i="2" l="1"/>
  <c r="K76" i="2" s="1"/>
  <c r="G73" i="2"/>
  <c r="G76" i="2" s="1"/>
  <c r="K26" i="2"/>
  <c r="G28" i="2"/>
  <c r="G10" i="2"/>
  <c r="G14" i="2" s="1"/>
  <c r="G16" i="2" s="1"/>
  <c r="K10" i="2"/>
  <c r="K14" i="2" s="1"/>
  <c r="J9" i="1"/>
  <c r="G22" i="2" l="1"/>
  <c r="G18" i="2"/>
  <c r="K21" i="2"/>
  <c r="G24" i="2"/>
  <c r="G21" i="2"/>
  <c r="K16" i="2"/>
  <c r="K28" i="2" s="1"/>
  <c r="K24" i="2"/>
  <c r="K22" i="2" l="1"/>
  <c r="K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3" authorId="0" shapeId="0" xr:uid="{192FDBC0-C718-42C3-9636-2776954C4E73}">
      <text>
        <r>
          <rPr>
            <sz val="9"/>
            <color indexed="81"/>
            <rFont val="Tahoma"/>
            <family val="2"/>
          </rPr>
          <t xml:space="preserve">Zysk/strata ze sprzedaży udziałów w jednostce
stowarzyszonej
</t>
        </r>
      </text>
    </comment>
    <comment ref="B33" authorId="0" shapeId="0" xr:uid="{E56BE140-E59E-49EB-B6B1-4964F5ADB1C3}">
      <text>
        <r>
          <rPr>
            <sz val="9"/>
            <color indexed="81"/>
            <rFont val="Tahoma"/>
            <family val="2"/>
          </rPr>
          <t xml:space="preserve">Zysk/strata ze sprzedaży udziałów w jednostce
stowarzyszonej
</t>
        </r>
      </text>
    </comment>
  </commentList>
</comments>
</file>

<file path=xl/sharedStrings.xml><?xml version="1.0" encoding="utf-8"?>
<sst xmlns="http://schemas.openxmlformats.org/spreadsheetml/2006/main" count="94" uniqueCount="88">
  <si>
    <t>Price</t>
  </si>
  <si>
    <t>Shares</t>
  </si>
  <si>
    <t>MC</t>
  </si>
  <si>
    <t>Cash</t>
  </si>
  <si>
    <t>Debt</t>
  </si>
  <si>
    <t>EV</t>
  </si>
  <si>
    <t>Q124</t>
  </si>
  <si>
    <t>Q1 24</t>
  </si>
  <si>
    <t>Przychód</t>
  </si>
  <si>
    <t>Koszt przychodu</t>
  </si>
  <si>
    <t>Zysk brutto</t>
  </si>
  <si>
    <t>Q224</t>
  </si>
  <si>
    <t>Q324</t>
  </si>
  <si>
    <t>Q424</t>
  </si>
  <si>
    <t>Koszt sprzedaży</t>
  </si>
  <si>
    <t>Koszt zarządu</t>
  </si>
  <si>
    <t>Przychody operacyjne</t>
  </si>
  <si>
    <t>Koszty operacyjne</t>
  </si>
  <si>
    <t>Zysk operacyjny</t>
  </si>
  <si>
    <t>Q423</t>
  </si>
  <si>
    <t>Q323</t>
  </si>
  <si>
    <t>Q223</t>
  </si>
  <si>
    <t>Q123</t>
  </si>
  <si>
    <t>Q422</t>
  </si>
  <si>
    <t>Q122</t>
  </si>
  <si>
    <t>Q22</t>
  </si>
  <si>
    <t>Q322</t>
  </si>
  <si>
    <t>(tys PLN)</t>
  </si>
  <si>
    <t>Revenue</t>
  </si>
  <si>
    <t>COGS</t>
  </si>
  <si>
    <t>Gross Profit</t>
  </si>
  <si>
    <t>G&amp;A</t>
  </si>
  <si>
    <t>Przychody finansowe</t>
  </si>
  <si>
    <t>Koszty finansowe</t>
  </si>
  <si>
    <t>Zysk przed podatkiem</t>
  </si>
  <si>
    <t>Pretax Income</t>
  </si>
  <si>
    <t>Podatek</t>
  </si>
  <si>
    <t>Zysk Netto</t>
  </si>
  <si>
    <t>Marża brutto</t>
  </si>
  <si>
    <t>Marża operacyjna</t>
  </si>
  <si>
    <t>Marża netto</t>
  </si>
  <si>
    <t>Stawka podatku</t>
  </si>
  <si>
    <t>Przychód R/R</t>
  </si>
  <si>
    <t>EPS</t>
  </si>
  <si>
    <t>Akcje</t>
  </si>
  <si>
    <t>Koszty R/R</t>
  </si>
  <si>
    <t>Zysk netto R/R</t>
  </si>
  <si>
    <t>Zysk jednostek stowarzysz.</t>
  </si>
  <si>
    <t>Udziały bez kontroli</t>
  </si>
  <si>
    <t>Non-controlling expenses</t>
  </si>
  <si>
    <t>Amortyzacja</t>
  </si>
  <si>
    <t>Utrata wartości firmy</t>
  </si>
  <si>
    <t>Zysk z różnic kursowych</t>
  </si>
  <si>
    <t>Zmiana stanu rezerw</t>
  </si>
  <si>
    <t>Zmiana stanu zapasów</t>
  </si>
  <si>
    <t>CFFO</t>
  </si>
  <si>
    <t>Rozliczenia międzyokr. czynne</t>
  </si>
  <si>
    <t>Rozliczenia międzyokr. bierne</t>
  </si>
  <si>
    <t>Inne korekty</t>
  </si>
  <si>
    <t>Podatek dochodowy</t>
  </si>
  <si>
    <t>Odsetki</t>
  </si>
  <si>
    <t>Zysk z inwestycji</t>
  </si>
  <si>
    <t>Dywidendy</t>
  </si>
  <si>
    <t>Środki trwałe i niematerialne</t>
  </si>
  <si>
    <t>CFFF</t>
  </si>
  <si>
    <t>Spredaż aktywów</t>
  </si>
  <si>
    <t>Sprzedaż jednostek</t>
  </si>
  <si>
    <t>Wpływ z odsetek</t>
  </si>
  <si>
    <t>Wpływ z dywidend</t>
  </si>
  <si>
    <t>Spłaty udzielonych pożyczek</t>
  </si>
  <si>
    <t>Nabycie aktywów i w. niemat.</t>
  </si>
  <si>
    <t>Nabycie podmiotów</t>
  </si>
  <si>
    <t>Nabycie aktywów fin.</t>
  </si>
  <si>
    <t>Udzielone pożyczki</t>
  </si>
  <si>
    <t>Inne</t>
  </si>
  <si>
    <t>CFFI</t>
  </si>
  <si>
    <t>Wpływ z kredytów</t>
  </si>
  <si>
    <t>Wpływy z emisji akcji</t>
  </si>
  <si>
    <t>W. z obligacji</t>
  </si>
  <si>
    <t>Spłata kredytów</t>
  </si>
  <si>
    <t>Płatność leasingu</t>
  </si>
  <si>
    <t>Wypłacone dywidendy</t>
  </si>
  <si>
    <t>Nabycie akcji</t>
  </si>
  <si>
    <t>Zapłacone odsetki</t>
  </si>
  <si>
    <t>Przepływy środków</t>
  </si>
  <si>
    <t>Środki pieniężne na początku</t>
  </si>
  <si>
    <t xml:space="preserve">Stan środków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</si>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</sst>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4" fontId="4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9" fontId="0" fillId="0" borderId="0" xfId="0" applyNumberFormat="1"/>
    <xf numFmtId="0" fontId="6" fillId="0" borderId="0" xfId="0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66675</xdr:rowOff>
    </xdr:from>
    <xdr:to>
      <xdr:col>11</xdr:col>
      <xdr:colOff>9525</xdr:colOff>
      <xdr:row>27</xdr:row>
      <xdr:rowOff>85725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E03801C-3590-4874-B8D3-F12073CDBA4B}"/>
            </a:ext>
          </a:extLst>
        </xdr:cNvPr>
        <xdr:cNvCxnSpPr/>
      </xdr:nvCxnSpPr>
      <xdr:spPr>
        <a:xfrm flipH="1">
          <a:off x="8839200" y="66675"/>
          <a:ext cx="9525" cy="478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B1A83C4-3686-4E48-B96E-B602E491C33C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F9E4-ADA0-4C7F-83A6-1B98EAC4F9B9}">
  <dimension ref="I4:K9"/>
  <sheetViews>
    <sheetView workbookViewId="0">
      <selection activeCell="E42" sqref="E37:F42"/>
    </sheetView>
  </sheetViews>
  <sheetFormatPr defaultRowHeight="14.3" x14ac:dyDescent="0.25"/>
  <cols>
    <col min="11" max="11" width="10.125" bestFit="1" customWidth="1"/>
  </cols>
  <sheetData>
    <row r="4" spans="9:11" x14ac:dyDescent="0.25">
      <c r="I4" t="s">
        <v>0</v>
      </c>
      <c r="J4">
        <v>24.2</v>
      </c>
      <c r="K4" s="1">
        <v>45497</v>
      </c>
    </row>
    <row r="5" spans="9:11" x14ac:dyDescent="0.25">
      <c r="I5" t="s">
        <v>1</v>
      </c>
      <c r="J5" s="2">
        <v>1364</v>
      </c>
    </row>
    <row r="6" spans="9:11" x14ac:dyDescent="0.25">
      <c r="I6" t="s">
        <v>2</v>
      </c>
      <c r="J6" s="2">
        <f>J4*J5</f>
        <v>33008.799999999996</v>
      </c>
    </row>
    <row r="7" spans="9:11" x14ac:dyDescent="0.25">
      <c r="I7" t="s">
        <v>3</v>
      </c>
      <c r="J7" s="2">
        <f>6984</f>
        <v>6984</v>
      </c>
      <c r="K7" t="s">
        <v>7</v>
      </c>
    </row>
    <row r="8" spans="9:11" x14ac:dyDescent="0.25">
      <c r="I8" t="s">
        <v>4</v>
      </c>
      <c r="J8" s="2">
        <f>0.424+5383</f>
        <v>5383.424</v>
      </c>
      <c r="K8" t="s">
        <v>7</v>
      </c>
    </row>
    <row r="9" spans="9:11" x14ac:dyDescent="0.25">
      <c r="I9" t="s">
        <v>5</v>
      </c>
      <c r="J9" s="2">
        <f>J6+J8-J7</f>
        <v>31408.223999999995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3B3D9-F036-43E3-A586-285DD0A3763B}">
  <dimension ref="A2:T76"/>
  <sheetViews>
    <sheetView tabSelected="1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R11" sqref="R11:T18"/>
    </sheetView>
  </sheetViews>
  <sheetFormatPr defaultRowHeight="14.3" x14ac:dyDescent="0.25"/>
  <cols>
    <col min="1" max="1" width="9.125" style="5"/>
    <col min="2" max="2" width="28.125" bestFit="1" customWidth="1"/>
    <col min="3" max="5" width="13.125" customWidth="1"/>
    <col min="6" max="14" width="11.375" customWidth="1"/>
  </cols>
  <sheetData>
    <row r="2" spans="1:20" x14ac:dyDescent="0.25">
      <c r="B2" s="5" t="s">
        <v>27</v>
      </c>
      <c r="C2" t="s">
        <v>24</v>
      </c>
      <c r="D2" t="s">
        <v>25</v>
      </c>
      <c r="E2" t="s">
        <v>26</v>
      </c>
      <c r="F2" t="s">
        <v>23</v>
      </c>
      <c r="G2" t="s">
        <v>22</v>
      </c>
      <c r="H2" t="s">
        <v>21</v>
      </c>
      <c r="I2" t="s">
        <v>20</v>
      </c>
      <c r="J2" t="s">
        <v>19</v>
      </c>
      <c r="K2" t="s">
        <v>6</v>
      </c>
      <c r="L2" t="s">
        <v>11</v>
      </c>
      <c r="M2" t="s">
        <v>12</v>
      </c>
      <c r="N2" t="s">
        <v>13</v>
      </c>
    </row>
    <row r="3" spans="1:20" x14ac:dyDescent="0.25">
      <c r="A3" s="5" t="s">
        <v>28</v>
      </c>
      <c r="B3" t="s">
        <v>8</v>
      </c>
      <c r="G3" s="2">
        <v>13792</v>
      </c>
      <c r="K3" s="2">
        <v>11936</v>
      </c>
    </row>
    <row r="4" spans="1:20" x14ac:dyDescent="0.25">
      <c r="A4" s="5" t="s">
        <v>29</v>
      </c>
      <c r="B4" t="s">
        <v>9</v>
      </c>
      <c r="G4" s="2">
        <v>10411</v>
      </c>
      <c r="K4" s="2">
        <v>9629</v>
      </c>
    </row>
    <row r="5" spans="1:20" s="3" customFormat="1" x14ac:dyDescent="0.25">
      <c r="A5" s="5" t="s">
        <v>30</v>
      </c>
      <c r="B5" s="3" t="s">
        <v>10</v>
      </c>
      <c r="G5" s="4">
        <f>G3-G4</f>
        <v>3381</v>
      </c>
      <c r="K5" s="4">
        <f>K3-K4</f>
        <v>2307</v>
      </c>
    </row>
    <row r="6" spans="1:20" x14ac:dyDescent="0.25">
      <c r="A6" s="5" t="s">
        <v>87</v>
      </c>
      <c r="B6" t="s">
        <v>14</v>
      </c>
      <c r="G6" s="2">
        <v>598</v>
      </c>
      <c r="K6" s="2">
        <v>732</v>
      </c>
    </row>
    <row r="7" spans="1:20" x14ac:dyDescent="0.25">
      <c r="A7" s="5" t="s">
        <v>31</v>
      </c>
      <c r="B7" t="s">
        <v>15</v>
      </c>
      <c r="G7" s="2">
        <v>1784</v>
      </c>
      <c r="K7" s="2">
        <v>1695</v>
      </c>
    </row>
    <row r="8" spans="1:20" x14ac:dyDescent="0.25">
      <c r="B8" t="s">
        <v>16</v>
      </c>
      <c r="G8" s="2">
        <v>55</v>
      </c>
      <c r="K8" s="2">
        <v>2</v>
      </c>
    </row>
    <row r="9" spans="1:20" x14ac:dyDescent="0.25">
      <c r="B9" t="s">
        <v>17</v>
      </c>
      <c r="G9" s="2">
        <v>16</v>
      </c>
      <c r="K9" s="2">
        <v>12</v>
      </c>
    </row>
    <row r="10" spans="1:20" s="3" customFormat="1" x14ac:dyDescent="0.25">
      <c r="A10" s="5"/>
      <c r="B10" s="3" t="s">
        <v>18</v>
      </c>
      <c r="G10" s="4">
        <f>G5-G6-G7+G8-G9</f>
        <v>1038</v>
      </c>
      <c r="K10" s="4">
        <f>K5-K6-K7+K8-K9</f>
        <v>-130</v>
      </c>
    </row>
    <row r="11" spans="1:20" x14ac:dyDescent="0.25">
      <c r="B11" t="s">
        <v>32</v>
      </c>
      <c r="G11" s="2">
        <v>167</v>
      </c>
      <c r="K11" s="2">
        <v>108</v>
      </c>
    </row>
    <row r="12" spans="1:20" x14ac:dyDescent="0.25">
      <c r="B12" t="s">
        <v>33</v>
      </c>
      <c r="G12" s="2">
        <v>3</v>
      </c>
      <c r="K12" s="2">
        <v>35</v>
      </c>
      <c r="S12" s="2"/>
      <c r="T12" s="2"/>
    </row>
    <row r="13" spans="1:20" x14ac:dyDescent="0.25">
      <c r="B13" t="s">
        <v>47</v>
      </c>
      <c r="G13" s="2">
        <v>0</v>
      </c>
      <c r="K13" s="2">
        <v>0</v>
      </c>
      <c r="S13" s="2"/>
      <c r="T13" s="2"/>
    </row>
    <row r="14" spans="1:20" s="3" customFormat="1" x14ac:dyDescent="0.25">
      <c r="A14" s="5" t="s">
        <v>35</v>
      </c>
      <c r="B14" s="3" t="s">
        <v>34</v>
      </c>
      <c r="G14" s="4">
        <f>G10+G11-G12</f>
        <v>1202</v>
      </c>
      <c r="K14" s="4">
        <f>K10+K11-K12</f>
        <v>-57</v>
      </c>
      <c r="R14"/>
      <c r="S14" s="2"/>
      <c r="T14" s="2"/>
    </row>
    <row r="15" spans="1:20" x14ac:dyDescent="0.25">
      <c r="B15" t="s">
        <v>36</v>
      </c>
      <c r="G15" s="2">
        <v>258</v>
      </c>
      <c r="K15" s="2">
        <v>7</v>
      </c>
      <c r="S15" s="2"/>
      <c r="T15" s="2"/>
    </row>
    <row r="16" spans="1:20" s="3" customFormat="1" x14ac:dyDescent="0.25">
      <c r="A16" s="5"/>
      <c r="B16" s="3" t="s">
        <v>37</v>
      </c>
      <c r="G16" s="4">
        <f>G14-G15</f>
        <v>944</v>
      </c>
      <c r="K16" s="4">
        <f>K14-K15</f>
        <v>-64</v>
      </c>
      <c r="R16"/>
      <c r="S16" s="2"/>
      <c r="T16" s="2"/>
    </row>
    <row r="17" spans="1:20" x14ac:dyDescent="0.25">
      <c r="B17" t="s">
        <v>44</v>
      </c>
      <c r="G17" s="2">
        <v>1364</v>
      </c>
      <c r="K17" s="2">
        <v>1364</v>
      </c>
      <c r="S17" s="2"/>
      <c r="T17" s="2"/>
    </row>
    <row r="18" spans="1:20" s="7" customFormat="1" x14ac:dyDescent="0.25">
      <c r="A18" s="6"/>
      <c r="B18" s="7" t="s">
        <v>43</v>
      </c>
      <c r="G18" s="8">
        <f>G16/G17</f>
        <v>0.6920821114369502</v>
      </c>
      <c r="K18" s="8">
        <f>K16/K17</f>
        <v>-4.6920821114369501E-2</v>
      </c>
      <c r="R18"/>
      <c r="S18" s="2"/>
      <c r="T18" s="2"/>
    </row>
    <row r="19" spans="1:20" x14ac:dyDescent="0.25">
      <c r="S19" s="2"/>
      <c r="T19" s="2"/>
    </row>
    <row r="20" spans="1:20" s="3" customFormat="1" x14ac:dyDescent="0.25">
      <c r="A20" s="5"/>
      <c r="B20" s="3" t="s">
        <v>38</v>
      </c>
      <c r="G20" s="10">
        <f>G5/G3</f>
        <v>0.24514211136890951</v>
      </c>
      <c r="K20" s="10">
        <f>K5/K3</f>
        <v>0.19328083109919572</v>
      </c>
    </row>
    <row r="21" spans="1:20" x14ac:dyDescent="0.25">
      <c r="B21" t="s">
        <v>39</v>
      </c>
      <c r="G21" s="9">
        <f>G10/G4</f>
        <v>9.9702238017481515E-2</v>
      </c>
      <c r="K21" s="9">
        <f>K10/K4</f>
        <v>-1.3500882750025964E-2</v>
      </c>
    </row>
    <row r="22" spans="1:20" x14ac:dyDescent="0.25">
      <c r="B22" t="s">
        <v>40</v>
      </c>
      <c r="G22" s="9">
        <f>G16/G5</f>
        <v>0.2792073351079562</v>
      </c>
      <c r="K22" s="9">
        <f>K16/K5</f>
        <v>-2.7741655830082357E-2</v>
      </c>
    </row>
    <row r="23" spans="1:20" x14ac:dyDescent="0.25">
      <c r="G23" s="9"/>
      <c r="K23" s="9"/>
    </row>
    <row r="24" spans="1:20" x14ac:dyDescent="0.25">
      <c r="B24" t="s">
        <v>41</v>
      </c>
      <c r="G24" s="11">
        <f>G15/G14</f>
        <v>0.21464226289517471</v>
      </c>
      <c r="K24" s="11">
        <f>K15/K14</f>
        <v>-0.12280701754385964</v>
      </c>
    </row>
    <row r="25" spans="1:20" x14ac:dyDescent="0.25">
      <c r="G25" s="9"/>
      <c r="K25" s="9"/>
    </row>
    <row r="26" spans="1:20" s="3" customFormat="1" x14ac:dyDescent="0.25">
      <c r="A26" s="5"/>
      <c r="B26" s="3" t="s">
        <v>42</v>
      </c>
      <c r="G26" s="10" t="e">
        <f>G3/C3-1</f>
        <v>#DIV/0!</v>
      </c>
      <c r="K26" s="10">
        <f>K3/G3-1</f>
        <v>-0.13457076566125292</v>
      </c>
    </row>
    <row r="27" spans="1:20" x14ac:dyDescent="0.25">
      <c r="B27" t="s">
        <v>45</v>
      </c>
      <c r="G27" s="11" t="e">
        <f>(G6+G7)/(C6+C7)-1</f>
        <v>#DIV/0!</v>
      </c>
      <c r="K27" s="11">
        <f>(K6+K7)/(G6+G7)-1</f>
        <v>1.8891687657430767E-2</v>
      </c>
    </row>
    <row r="28" spans="1:20" x14ac:dyDescent="0.25">
      <c r="B28" t="s">
        <v>46</v>
      </c>
      <c r="G28" s="10" t="e">
        <f>G5/C5-1</f>
        <v>#DIV/0!</v>
      </c>
      <c r="K28" s="10">
        <f>K16/G16-1</f>
        <v>-1.0677966101694916</v>
      </c>
    </row>
    <row r="29" spans="1:20" x14ac:dyDescent="0.25">
      <c r="G29" s="10"/>
      <c r="K29" s="10"/>
    </row>
    <row r="31" spans="1:20" s="5" customFormat="1" x14ac:dyDescent="0.25">
      <c r="B31" s="12" t="s">
        <v>55</v>
      </c>
    </row>
    <row r="32" spans="1:20" s="3" customFormat="1" x14ac:dyDescent="0.25">
      <c r="A32" s="5"/>
      <c r="B32" s="3" t="s">
        <v>10</v>
      </c>
      <c r="G32" s="4">
        <v>1202</v>
      </c>
      <c r="K32" s="4">
        <v>-57</v>
      </c>
    </row>
    <row r="33" spans="1:11" x14ac:dyDescent="0.25">
      <c r="B33" t="s">
        <v>47</v>
      </c>
      <c r="G33" s="2">
        <v>0</v>
      </c>
      <c r="K33" s="2">
        <v>0</v>
      </c>
    </row>
    <row r="34" spans="1:11" x14ac:dyDescent="0.25">
      <c r="A34" s="5" t="s">
        <v>49</v>
      </c>
      <c r="B34" t="s">
        <v>48</v>
      </c>
      <c r="G34" s="2">
        <v>0</v>
      </c>
      <c r="K34" s="2">
        <v>0</v>
      </c>
    </row>
    <row r="35" spans="1:11" x14ac:dyDescent="0.25">
      <c r="B35" t="s">
        <v>50</v>
      </c>
      <c r="G35" s="2">
        <v>205</v>
      </c>
      <c r="K35" s="2">
        <v>194</v>
      </c>
    </row>
    <row r="36" spans="1:11" x14ac:dyDescent="0.25">
      <c r="B36" t="s">
        <v>51</v>
      </c>
      <c r="G36" s="2">
        <v>0</v>
      </c>
      <c r="K36" s="2">
        <v>0</v>
      </c>
    </row>
    <row r="37" spans="1:11" x14ac:dyDescent="0.25">
      <c r="B37" t="s">
        <v>52</v>
      </c>
      <c r="G37" s="2">
        <v>-41</v>
      </c>
      <c r="K37" s="2">
        <v>6</v>
      </c>
    </row>
    <row r="38" spans="1:11" x14ac:dyDescent="0.25">
      <c r="B38" t="s">
        <v>60</v>
      </c>
      <c r="G38" s="2">
        <v>-9</v>
      </c>
      <c r="K38" s="2">
        <v>-35</v>
      </c>
    </row>
    <row r="39" spans="1:11" x14ac:dyDescent="0.25">
      <c r="B39" t="s">
        <v>62</v>
      </c>
      <c r="G39" s="2">
        <v>0</v>
      </c>
      <c r="K39" s="2">
        <v>0</v>
      </c>
    </row>
    <row r="40" spans="1:11" x14ac:dyDescent="0.25">
      <c r="B40" t="s">
        <v>61</v>
      </c>
      <c r="G40" s="2">
        <v>-129</v>
      </c>
      <c r="K40" s="2">
        <v>-67</v>
      </c>
    </row>
    <row r="41" spans="1:11" x14ac:dyDescent="0.25">
      <c r="B41" t="s">
        <v>53</v>
      </c>
      <c r="G41" s="2">
        <v>0</v>
      </c>
      <c r="K41" s="2">
        <v>0</v>
      </c>
    </row>
    <row r="42" spans="1:11" x14ac:dyDescent="0.25">
      <c r="B42" t="s">
        <v>54</v>
      </c>
      <c r="G42" s="2">
        <v>50</v>
      </c>
      <c r="K42" s="2">
        <v>-94</v>
      </c>
    </row>
    <row r="43" spans="1:11" x14ac:dyDescent="0.25">
      <c r="B43" t="s">
        <v>56</v>
      </c>
      <c r="G43" s="2">
        <v>1884</v>
      </c>
      <c r="K43" s="2">
        <v>1116</v>
      </c>
    </row>
    <row r="44" spans="1:11" x14ac:dyDescent="0.25">
      <c r="B44" t="s">
        <v>57</v>
      </c>
      <c r="G44" s="2">
        <v>-2728</v>
      </c>
      <c r="K44" s="2">
        <v>-1057</v>
      </c>
    </row>
    <row r="45" spans="1:11" x14ac:dyDescent="0.25">
      <c r="B45" t="s">
        <v>59</v>
      </c>
      <c r="G45" s="2">
        <v>-367</v>
      </c>
      <c r="K45" s="2">
        <v>-241</v>
      </c>
    </row>
    <row r="46" spans="1:11" x14ac:dyDescent="0.25">
      <c r="B46" t="s">
        <v>58</v>
      </c>
      <c r="G46" s="2">
        <v>0</v>
      </c>
      <c r="K46" s="2">
        <v>17</v>
      </c>
    </row>
    <row r="47" spans="1:11" s="3" customFormat="1" x14ac:dyDescent="0.25">
      <c r="A47" s="5"/>
      <c r="B47" s="3" t="s">
        <v>55</v>
      </c>
      <c r="G47" s="4">
        <f>SUM(G32:G46)</f>
        <v>67</v>
      </c>
      <c r="K47" s="4">
        <f>SUM(K32:K46)</f>
        <v>-218</v>
      </c>
    </row>
    <row r="49" spans="1:11" x14ac:dyDescent="0.25">
      <c r="B49" t="s">
        <v>63</v>
      </c>
      <c r="G49" s="2">
        <v>4</v>
      </c>
      <c r="K49" s="2">
        <v>2</v>
      </c>
    </row>
    <row r="50" spans="1:11" x14ac:dyDescent="0.25">
      <c r="B50" t="s">
        <v>66</v>
      </c>
      <c r="G50" s="2">
        <v>0</v>
      </c>
      <c r="K50" s="2">
        <v>0</v>
      </c>
    </row>
    <row r="51" spans="1:11" x14ac:dyDescent="0.25">
      <c r="B51" t="s">
        <v>65</v>
      </c>
      <c r="G51" s="2">
        <v>0</v>
      </c>
      <c r="K51" s="2">
        <v>0</v>
      </c>
    </row>
    <row r="52" spans="1:11" x14ac:dyDescent="0.25">
      <c r="B52" t="s">
        <v>67</v>
      </c>
      <c r="G52" s="2">
        <v>16</v>
      </c>
      <c r="K52" s="2">
        <v>3</v>
      </c>
    </row>
    <row r="53" spans="1:11" x14ac:dyDescent="0.25">
      <c r="B53" t="s">
        <v>68</v>
      </c>
      <c r="G53" s="2">
        <v>0</v>
      </c>
      <c r="K53" s="2">
        <v>0</v>
      </c>
    </row>
    <row r="54" spans="1:11" x14ac:dyDescent="0.25">
      <c r="B54" t="s">
        <v>69</v>
      </c>
      <c r="G54" s="2">
        <v>39</v>
      </c>
      <c r="K54" s="2">
        <v>15</v>
      </c>
    </row>
    <row r="55" spans="1:11" x14ac:dyDescent="0.25">
      <c r="B55" t="s">
        <v>70</v>
      </c>
      <c r="G55" s="2">
        <v>-105</v>
      </c>
      <c r="K55" s="2">
        <v>-80</v>
      </c>
    </row>
    <row r="56" spans="1:11" x14ac:dyDescent="0.25">
      <c r="B56" t="s">
        <v>71</v>
      </c>
      <c r="G56" s="2">
        <v>0</v>
      </c>
      <c r="K56" s="2">
        <v>0</v>
      </c>
    </row>
    <row r="57" spans="1:11" x14ac:dyDescent="0.25">
      <c r="B57" t="s">
        <v>72</v>
      </c>
      <c r="G57" s="2">
        <v>0</v>
      </c>
      <c r="K57" s="2">
        <v>0</v>
      </c>
    </row>
    <row r="58" spans="1:11" x14ac:dyDescent="0.25">
      <c r="B58" t="s">
        <v>73</v>
      </c>
      <c r="G58" s="2">
        <v>-116</v>
      </c>
      <c r="K58" s="2">
        <v>0</v>
      </c>
    </row>
    <row r="59" spans="1:11" x14ac:dyDescent="0.25">
      <c r="B59" t="s">
        <v>74</v>
      </c>
      <c r="G59" s="2">
        <v>0</v>
      </c>
      <c r="K59" s="2">
        <v>0</v>
      </c>
    </row>
    <row r="60" spans="1:11" s="3" customFormat="1" x14ac:dyDescent="0.25">
      <c r="A60" s="5"/>
      <c r="B60" s="3" t="s">
        <v>64</v>
      </c>
      <c r="G60" s="4">
        <f>SUM(G49:G59)</f>
        <v>-162</v>
      </c>
      <c r="K60" s="4">
        <f>SUM(K49:K59)</f>
        <v>-60</v>
      </c>
    </row>
    <row r="62" spans="1:11" x14ac:dyDescent="0.25">
      <c r="B62" t="s">
        <v>76</v>
      </c>
      <c r="G62" s="2">
        <v>0</v>
      </c>
      <c r="K62" s="2">
        <v>0</v>
      </c>
    </row>
    <row r="63" spans="1:11" x14ac:dyDescent="0.25">
      <c r="B63" t="s">
        <v>77</v>
      </c>
      <c r="G63" s="2">
        <v>0</v>
      </c>
      <c r="K63" s="2">
        <v>0</v>
      </c>
    </row>
    <row r="64" spans="1:11" x14ac:dyDescent="0.25">
      <c r="B64" t="s">
        <v>78</v>
      </c>
      <c r="G64" s="2">
        <v>0</v>
      </c>
      <c r="K64" s="2">
        <v>0</v>
      </c>
    </row>
    <row r="65" spans="1:11" x14ac:dyDescent="0.25">
      <c r="B65" t="s">
        <v>79</v>
      </c>
      <c r="G65" s="2">
        <v>-155</v>
      </c>
      <c r="K65" s="2">
        <v>0</v>
      </c>
    </row>
    <row r="66" spans="1:11" x14ac:dyDescent="0.25">
      <c r="B66" t="s">
        <v>80</v>
      </c>
      <c r="G66" s="2">
        <v>-14</v>
      </c>
      <c r="K66" s="2">
        <v>0</v>
      </c>
    </row>
    <row r="67" spans="1:11" x14ac:dyDescent="0.25">
      <c r="B67" t="s">
        <v>81</v>
      </c>
      <c r="G67" s="2">
        <v>0</v>
      </c>
      <c r="K67" s="2">
        <v>0</v>
      </c>
    </row>
    <row r="68" spans="1:11" x14ac:dyDescent="0.25">
      <c r="B68" t="s">
        <v>82</v>
      </c>
      <c r="G68" s="2">
        <v>0</v>
      </c>
      <c r="K68" s="2">
        <v>0</v>
      </c>
    </row>
    <row r="69" spans="1:11" x14ac:dyDescent="0.25">
      <c r="B69" t="s">
        <v>83</v>
      </c>
      <c r="G69" s="2">
        <v>-10</v>
      </c>
      <c r="K69" s="2"/>
    </row>
    <row r="70" spans="1:11" x14ac:dyDescent="0.25">
      <c r="B70" t="s">
        <v>74</v>
      </c>
      <c r="G70" s="2">
        <v>0</v>
      </c>
      <c r="K70" s="2">
        <v>0</v>
      </c>
    </row>
    <row r="71" spans="1:11" s="3" customFormat="1" x14ac:dyDescent="0.25">
      <c r="A71" s="5"/>
      <c r="B71" s="3" t="s">
        <v>75</v>
      </c>
      <c r="G71" s="4">
        <f>SUM(G62:G70)</f>
        <v>-179</v>
      </c>
      <c r="K71" s="4">
        <f>SUM(K62:K70)</f>
        <v>0</v>
      </c>
    </row>
    <row r="73" spans="1:11" s="3" customFormat="1" x14ac:dyDescent="0.25">
      <c r="A73" s="5"/>
      <c r="B73" s="3" t="s">
        <v>84</v>
      </c>
      <c r="G73" s="4">
        <f>G71+G60+G47</f>
        <v>-274</v>
      </c>
      <c r="K73" s="4">
        <f>K71+K60+K47</f>
        <v>-278</v>
      </c>
    </row>
    <row r="74" spans="1:11" x14ac:dyDescent="0.25">
      <c r="B74" t="s">
        <v>85</v>
      </c>
      <c r="G74" s="2">
        <v>8281</v>
      </c>
      <c r="K74" s="2">
        <v>7256</v>
      </c>
    </row>
    <row r="75" spans="1:11" s="7" customFormat="1" x14ac:dyDescent="0.25">
      <c r="A75" s="6"/>
      <c r="B75" s="7" t="s">
        <v>52</v>
      </c>
      <c r="G75" s="13">
        <v>40</v>
      </c>
      <c r="K75" s="13">
        <v>6</v>
      </c>
    </row>
    <row r="76" spans="1:11" s="3" customFormat="1" x14ac:dyDescent="0.25">
      <c r="A76" s="5"/>
      <c r="B76" s="3" t="s">
        <v>86</v>
      </c>
      <c r="G76" s="4">
        <f>G74+G75+G73</f>
        <v>8047</v>
      </c>
      <c r="K76" s="4">
        <f>K74+K75+K73</f>
        <v>6984</v>
      </c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Dawid Najdzionek</cp:lastModifiedBy>
  <dcterms:created xsi:type="dcterms:W3CDTF">2024-07-24T12:38:08Z</dcterms:created>
  <dcterms:modified xsi:type="dcterms:W3CDTF">2024-09-01T08:10:07Z</dcterms:modified>
</cp:coreProperties>
</file>